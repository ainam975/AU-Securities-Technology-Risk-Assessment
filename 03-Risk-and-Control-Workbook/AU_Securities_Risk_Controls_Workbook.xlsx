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hidePivotFieldList="1" defaultThemeVersion="166925"/>
  <xr:revisionPtr revIDLastSave="0" documentId="8_{41EB3398-7674-4C24-A290-6FE186E07123}" xr6:coauthVersionLast="47" xr6:coauthVersionMax="47" xr10:uidLastSave="{00000000-0000-0000-0000-000000000000}"/>
  <bookViews>
    <workbookView xWindow="240" yWindow="105" windowWidth="14805" windowHeight="8010" firstSheet="2" activeTab="1" xr2:uid="{00000000-000D-0000-FFFF-FFFF00000000}"/>
  </bookViews>
  <sheets>
    <sheet name="Risk Register" sheetId="1" r:id="rId1"/>
    <sheet name="Risk &amp; Control Matrix" sheetId="2" r:id="rId2"/>
    <sheet name="Reference" sheetId="3" r:id="rId3"/>
    <sheet name="Risk Summary" sheetId="4" r:id="rId4"/>
  </sheets>
  <definedNames>
    <definedName name="_xlnm._FilterDatabase" localSheetId="0" hidden="1">'Risk Register'!$A$3:$N$14</definedName>
    <definedName name="RiskDomains">Reference!$A$2:$A$11</definedName>
    <definedName name="RiskScores">Reference!$C$1:$C$6</definedName>
  </definedNames>
  <calcPr calcId="191028"/>
  <pivotCaches>
    <pivotCache cacheId="111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2" l="1"/>
  <c r="M4" i="2"/>
  <c r="M5" i="2"/>
  <c r="M6" i="2"/>
  <c r="M7" i="2"/>
  <c r="M8" i="2"/>
  <c r="M9" i="2"/>
  <c r="M10" i="2"/>
  <c r="M11" i="2"/>
  <c r="M12" i="2"/>
  <c r="M13" i="2"/>
  <c r="M2" i="2"/>
  <c r="C3" i="2"/>
  <c r="C4" i="2"/>
  <c r="C5" i="2"/>
  <c r="C6" i="2"/>
  <c r="C7" i="2"/>
  <c r="C8" i="2"/>
  <c r="C9" i="2"/>
  <c r="C10" i="2"/>
  <c r="C11" i="2"/>
  <c r="C12" i="2"/>
  <c r="C13" i="2"/>
  <c r="C2" i="2"/>
  <c r="I9" i="1"/>
  <c r="J9" i="1" s="1"/>
  <c r="I10" i="1"/>
  <c r="J10" i="1" s="1"/>
  <c r="I11" i="1"/>
  <c r="J11" i="1" s="1"/>
  <c r="I12" i="1"/>
  <c r="J12" i="1" s="1"/>
  <c r="I13" i="1"/>
  <c r="J13" i="1" s="1"/>
  <c r="I14" i="1"/>
  <c r="J14" i="1" s="1"/>
  <c r="I8" i="1"/>
  <c r="J8" i="1" s="1"/>
  <c r="I5" i="1"/>
  <c r="J5" i="1" s="1"/>
  <c r="I6" i="1"/>
  <c r="J6" i="1" s="1"/>
  <c r="I7" i="1"/>
  <c r="J7" i="1" s="1"/>
  <c r="I4" i="1"/>
  <c r="J4" i="1" s="1"/>
  <c r="I3" i="1"/>
  <c r="J3" i="1" s="1"/>
  <c r="G3" i="3" l="1"/>
  <c r="G4" i="3"/>
  <c r="G5" i="3"/>
  <c r="G2" i="3"/>
</calcChain>
</file>

<file path=xl/sharedStrings.xml><?xml version="1.0" encoding="utf-8"?>
<sst xmlns="http://schemas.openxmlformats.org/spreadsheetml/2006/main" count="454" uniqueCount="339">
  <si>
    <t>Risk ID</t>
  </si>
  <si>
    <t>Risk Domain</t>
  </si>
  <si>
    <t>Business Process</t>
  </si>
  <si>
    <t>Asset/System</t>
  </si>
  <si>
    <t>Risk Statement</t>
  </si>
  <si>
    <t>Threat/Cause</t>
  </si>
  <si>
    <t>Likelihood</t>
  </si>
  <si>
    <t>Impact</t>
  </si>
  <si>
    <t>Inherent Risk Score</t>
  </si>
  <si>
    <t>Risk Rating</t>
  </si>
  <si>
    <t>Existing Controls</t>
  </si>
  <si>
    <t>Control Gap</t>
  </si>
  <si>
    <t>Recommendation</t>
  </si>
  <si>
    <t>Risk Owner</t>
  </si>
  <si>
    <t>R-001</t>
  </si>
  <si>
    <t>Identity &amp; Access Management</t>
  </si>
  <si>
    <t>Customer Login &amp; Authentication</t>
  </si>
  <si>
    <t>Authentication &amp; MFA Service / Customer Brokerage Account</t>
  </si>
  <si>
    <t>Unauthorized users may gain access to customer brokerage accounts if customer credentials or authentication mechanisms are compromised, potentially resulting in fraudulent trades, unauthorized withdrawals, or exposure of sensitive customer information.</t>
  </si>
  <si>
    <t>Phishing, credential theft, credential stuffing, compromised passwords</t>
  </si>
  <si>
    <t>MFA for customer authentication; failed-login lockout; suspicious-login monitoring</t>
  </si>
  <si>
    <t>Step-up authentication is not consistently required for high-risk account changes such as adding a new bank account or modifying customer contact information.</t>
  </si>
  <si>
    <t>Require step-up MFA or additional identity verification for high-risk account changes and unusual withdrawal activity.</t>
  </si>
  <si>
    <t>Information Security / Brokerage Operations</t>
  </si>
  <si>
    <t>R-002</t>
  </si>
  <si>
    <t>Transaction &amp; Fraud Controls</t>
  </si>
  <si>
    <t>Bank Account Changes &amp; Withdrawals</t>
  </si>
  <si>
    <t>Brokerage Core Platform / Bank-ACH Processor / Customer Brokerage Account</t>
  </si>
  <si>
    <t>Unauthorized users may add or modify linked bank accounts and initiate fraudulent withdrawals, potentially resulting in customer financial losses, reimbursement costs, regulatory exposure, and reputational damage.</t>
  </si>
  <si>
    <t>Account takeover, compromised credentials, social engineering, unauthorized bank-account changes</t>
  </si>
  <si>
    <t>Customer notifications for bank-account changes; withdrawal transaction monitoring; withdrawal limits; bank-account ownership verification</t>
  </si>
  <si>
    <t>Step-up authentication is not required before adding a new external bank account, and withdrawals may be initiated shortly after the account change.</t>
  </si>
  <si>
    <t>Require step-up MFA and bank-account ownership verification for new external accounts and implement additional review or temporary withdrawal restrictions following high-risk bank-account changes.</t>
  </si>
  <si>
    <t>Fraud Risk / Brokerage Operations / Information Security</t>
  </si>
  <si>
    <t>R-003</t>
  </si>
  <si>
    <t>Employee &amp; Privileged Access Management</t>
  </si>
  <si>
    <t>Employee Admin Portal / Brokerage Core Platform / Customer Account Database</t>
  </si>
  <si>
    <t>Employees or administrators may retain excessive or inappropriate access to customer accounts and critical brokerage systems, potentially enabling unauthorized changes, exposure of sensitive information, fraud, or circumvention of internal controls.</t>
  </si>
  <si>
    <t>Excessive permissions, stale accounts, improper role changes, delayed account termination</t>
  </si>
  <si>
    <t>Role-based access control (RBAC); MFA for employee access; manager approval for privileged access; termination-based account deactivation; privileged activity logging</t>
  </si>
  <si>
    <t>Periodic access reviews are not performed consistently, increasing the risk that employees who change roles or leave the organization may retain unnecessary or privileged access.</t>
  </si>
  <si>
    <t>Perform quarterly user-access reviews, automate account deactivation for terminated employees, and require documented approval for new or elevated privileged access.</t>
  </si>
  <si>
    <t>Identity &amp; Access Management / IT Operations</t>
  </si>
  <si>
    <t>R-004</t>
  </si>
  <si>
    <t>Logging &amp; Monitoring</t>
  </si>
  <si>
    <t>Security Monitoring &amp; Incident Detection</t>
  </si>
  <si>
    <t>Security Logging &amp; Monitoring / Authentication &amp; MFA / Employee Admin Portal / Brokerage Core Platform</t>
  </si>
  <si>
    <t>Security-relevant activity may not be logged, retained, or reviewed adequately, potentially delaying detection of account compromise, employee misuse, fraudulent activity, or other security incidents.</t>
  </si>
  <si>
    <t>Incomplete logging, inadequate alerting, insufficient log review, improper log retention</t>
  </si>
  <si>
    <t>Centralized security logging; automated alerts for suspicious activity; authentication logs; administrative activity logs; defined log-retention requirements</t>
  </si>
  <si>
    <t>Logging coverage is inconsistent across critical systems, and alerts for high-risk administrative and customer-account activity are not reviewed within a defined timeframe.</t>
  </si>
  <si>
    <t>Ensure critical systems send security and administrative activity logs to centralized monitoring, define alert thresholds for high-risk events, and establish documented review and escalation timeframes.</t>
  </si>
  <si>
    <t>Information Security / Security Operations</t>
  </si>
  <si>
    <t>R-005</t>
  </si>
  <si>
    <t>Trade Processing &amp; Operations</t>
  </si>
  <si>
    <t>Trade Order Processing &amp; Execution</t>
  </si>
  <si>
    <t>Brokerage Core Platform / Order Management System / Trade Execution Provider</t>
  </si>
  <si>
    <t>Trade orders may be duplicated, incorrectly processed, rejected without proper handling, or inaccurately recorded due to system, interface, or processing failures, potentially resulting in incorrect customer positions, financial losses, customer complaints, or operational and regulatory exposure.</t>
  </si>
  <si>
    <t>System errors, interface failures, duplicate order submission, processing errors, inaccurate execution data</t>
  </si>
  <si>
    <t>Pre-trade order validation; duplicate-order prevention; execution confirmations; order-status monitoring; daily trade reconciliation; exception reporting</t>
  </si>
  <si>
    <t>Trade execution records are not reconciled to internal order records in near real time, increasing the risk that failed, duplicated, or incorrectly recorded trades may not be identified promptly.</t>
  </si>
  <si>
    <t>Implement automated reconciliation between the Order Management System and Trade Execution Provider, generate alerts for unmatched or duplicate transactions, and establish documented procedures for timely investigation and resolution of trade exceptions.</t>
  </si>
  <si>
    <t>Trading Operations / Brokerage Operations / Technology</t>
  </si>
  <si>
    <t>R-006</t>
  </si>
  <si>
    <t>Data Protection &amp; Privacy</t>
  </si>
  <si>
    <t>Customer Data Storage &amp; Access</t>
  </si>
  <si>
    <t>Customer Account Database / Employee Admin Portal / Brokerage Core Platform</t>
  </si>
  <si>
    <t>Sensitive customer information may be exposed, accessed by unauthorized individuals, or improperly disclosed due to inadequate data-protection controls, potentially resulting in identity theft, financial fraud, regulatory exposure, customer harm, and reputational damage.</t>
  </si>
  <si>
    <t>Unauthorized access, excessive employee permissions, database compromise, improper data handling, unencrypted or insufficiently protected sensitive information</t>
  </si>
  <si>
    <t>Encryption at rest and in transit; role-based access controls; sensitive-data masking; database access logging; MFA for employee access</t>
  </si>
  <si>
    <t>Customer-support personnel can view certain sensitive customer information in full even when the information is not required to perform routine support responsibilities.</t>
  </si>
  <si>
    <t>Mask sensitive customer information by default, restrict access to full data based on documented business need, and log and periodically review instances where employees access unmasked sensitive information.</t>
  </si>
  <si>
    <t>Information Security / Data Protection / Brokerage Operations</t>
  </si>
  <si>
    <t>R-007</t>
  </si>
  <si>
    <t>Change Management</t>
  </si>
  <si>
    <t>Application &amp; Production Change Management</t>
  </si>
  <si>
    <t>Web / Mobile Application / Brokerage Core Platform / Order Management System</t>
  </si>
  <si>
    <t>Unauthorized, inadequately tested, or improperly implemented system changes may disrupt critical brokerage operations, introduce security vulnerabilities, or result in inaccurate customer and transaction data.</t>
  </si>
  <si>
    <t>Insufficient testing, unauthorized changes, inadequate approvals, configuration errors, failed deployments</t>
  </si>
  <si>
    <t>Documented change requests; management approval; pre-production testing; separation of development and production access; rollback procedures; emergency change process</t>
  </si>
  <si>
    <t>Emergency production changes may be implemented before independent approval and are not consistently subjected to documented post-implementation review.</t>
  </si>
  <si>
    <t>Require documented post-implementation review and independent approval for emergency changes, including validation of testing results, business impact, and rollback readiness.</t>
  </si>
  <si>
    <t>Technology / Application Development / Change Management</t>
  </si>
  <si>
    <t>R-008</t>
  </si>
  <si>
    <t>Third-Party Risk</t>
  </si>
  <si>
    <t>Third-Party Service Management</t>
  </si>
  <si>
    <t>Cloud Service Provider / Bank-ACH Processor / Identity Verification Provider / Trade Execution Provider</t>
  </si>
  <si>
    <t>Critical third-party service providers may experience security incidents, operational failures, or service outages that disrupt A.U. Securities' brokerage operations, expose sensitive information, or affect the processing of customer transactions.</t>
  </si>
  <si>
    <t>Vendor security breach, service outage, inadequate vendor controls, concentration risk, weak third-party oversight</t>
  </si>
  <si>
    <t>Pre-contract vendor due diligence; contractual security requirements; service-level agreements; periodic vendor assessments; SOC report review; incident-notification requirements</t>
  </si>
  <si>
    <t>Critical vendors are not consistently classified by risk level, and periodic reassessments are not completed for all providers that support sensitive data or critical brokerage operations.</t>
  </si>
  <si>
    <t>Implement a formal third-party risk-tiering process, require periodic reassessments of critical vendors, document review of independent control reports, and establish remediation and escalation procedures for identified vendor-control weaknesses.</t>
  </si>
  <si>
    <t>Third-Party Risk / Technology / Procurement</t>
  </si>
  <si>
    <t>R-009</t>
  </si>
  <si>
    <t>Business Continuity &amp; Resilience</t>
  </si>
  <si>
    <t>Business Continuity &amp; Disaster Recovery</t>
  </si>
  <si>
    <t>Cloud / Infrastructure / Brokerage Core Platform / Customer Account Database / Backup &amp; Disaster Recovery</t>
  </si>
  <si>
    <t>Critical brokerage systems may become unavailable or customer and transaction data may be unrecoverable following a system failure, cloud-service outage, cyber incident, or other disruption, potentially preventing customers from accessing accounts or completing brokerage transactions.</t>
  </si>
  <si>
    <t>Cloud outage, hardware or system failure, corrupted data, inadequate backups, unsuccessful disaster recovery</t>
  </si>
  <si>
    <t>Automated backups; redundant infrastructure; disaster-recovery environment; system availability monitoring; documented business continuity and disaster-recovery plans</t>
  </si>
  <si>
    <t>Disaster-recovery testing is performed inconsistently and does not fully validate the recovery of critical brokerage processes, customer data, and dependencies on third-party service providers.</t>
  </si>
  <si>
    <t>Establish defined recovery time and recovery point objectives for critical systems, perform periodic end-to-end disaster-recovery testing, validate restoration of customer and transaction data, and include critical third-party dependencies in recovery exercises.</t>
  </si>
  <si>
    <t>Business Continuity / Technology / Brokerage Operations</t>
  </si>
  <si>
    <t>R-010</t>
  </si>
  <si>
    <t>Transaction Reconciliation &amp; Account Records</t>
  </si>
  <si>
    <t>Brokerage Core Platform / Customer Account Database / Order Management System / Bank-ACH Processor</t>
  </si>
  <si>
    <t>Differences between internal brokerage records and external transaction records may not be identified or resolved promptly, potentially resulting in inaccurate customer balances, incorrect positions, transaction errors, or financial reporting issues.</t>
  </si>
  <si>
    <t>Interface errors, delayed transaction updates, failed data transfers, inaccurate records, unreconciled exceptions</t>
  </si>
  <si>
    <t>Daily transaction reconciliation; automated exception reports; trade execution confirmations; bank transaction matching; supervisory review of unresolved exceptions</t>
  </si>
  <si>
    <t>Certain reconciliation exceptions may remain unresolved beyond established review periods, and escalation requirements for aging exceptions are not consistently documented.</t>
  </si>
  <si>
    <t>Establish documented escalation thresholds for unresolved reconciliation exceptions, track exception aging, and require supervisory review of material or overdue differences.</t>
  </si>
  <si>
    <t>Brokerage Operations / Finance Operations</t>
  </si>
  <si>
    <t>R-011</t>
  </si>
  <si>
    <t>Vulnerability &amp; Patch Management</t>
  </si>
  <si>
    <t>Vulnerability Identification &amp; Remediation</t>
  </si>
  <si>
    <t>Web / Mobile Application / Cloud Infrastructure / Brokerage Core Platform</t>
  </si>
  <si>
    <t>Security vulnerabilities in critical brokerage systems may not be identified or remediated within appropriate timeframes, increasing the risk of unauthorized access, system compromise, data exposure, or disruption of brokerage operations.</t>
  </si>
  <si>
    <t>Unpatched software, outdated components, delayed remediation, configuration weaknesses, inadequate vulnerability scanning</t>
  </si>
  <si>
    <t>Automated vulnerability scanning; security patching procedures; remediation deadlines based on severity; configuration reviews; vulnerability tracking</t>
  </si>
  <si>
    <t>Establish formal escalation procedures for overdue high-risk vulnerabilities, require documented remediation or approved risk acceptance, and provide management with periodic reporting on outstanding vulnerabilities.</t>
  </si>
  <si>
    <t>Information Security / Technology Operations</t>
  </si>
  <si>
    <t>R-012</t>
  </si>
  <si>
    <t>Market Data &amp; Customer Experience</t>
  </si>
  <si>
    <t>Customer Market Data Display</t>
  </si>
  <si>
    <t>Web / Mobile Application / Market Data Provider</t>
  </si>
  <si>
    <t>Temporary delays or inaccuracies in customer-facing market data may cause customers to view outdated quotes or pricing information, potentially creating confusion, customer complaints, or minor service issues.</t>
  </si>
  <si>
    <t>Delayed market-data feed, temporary API failure, stale cached pricing, display error</t>
  </si>
  <si>
    <t>Redundant market-data feeds; timestamped quotes; automated feed-health monitoring; stale-data alerts</t>
  </si>
  <si>
    <t>Customer-facing applications do not consistently display a clear warning when market-data updates are temporarily delayed.</t>
  </si>
  <si>
    <t>Display visible stale-data indicators when market-data feeds are delayed and automatically alert technology operations when quote updates exceed established thresholds.</t>
  </si>
  <si>
    <t>Market Data Operations / Technology</t>
  </si>
  <si>
    <t>Control ID</t>
  </si>
  <si>
    <t>Control Objective</t>
  </si>
  <si>
    <t>Control Description</t>
  </si>
  <si>
    <t>Control Type</t>
  </si>
  <si>
    <t>Control Nature</t>
  </si>
  <si>
    <t>Frequency</t>
  </si>
  <si>
    <t>Control Owner</t>
  </si>
  <si>
    <t>Audit Procedure</t>
  </si>
  <si>
    <t>Evidence Required</t>
  </si>
  <si>
    <t>Design Assessment</t>
  </si>
  <si>
    <t>C-001</t>
  </si>
  <si>
    <t>Ensure only authorized customers can access brokerage accounts.</t>
  </si>
  <si>
    <t>Customers must complete system-enforced MFA before account access is granted.</t>
  </si>
  <si>
    <t>Preventative</t>
  </si>
  <si>
    <t>Automated</t>
  </si>
  <si>
    <t>Per Login</t>
  </si>
  <si>
    <t>Information Security/ IAM</t>
  </si>
  <si>
    <t>Check MFA settings and review a sample of customer logins to confirm MFA was required.</t>
  </si>
  <si>
    <t>MFA settings; login logs; sample login records</t>
  </si>
  <si>
    <t>Partially Effective</t>
  </si>
  <si>
    <t>C-002</t>
  </si>
  <si>
    <t>Prevent unauthorized money movement to unverified bank accounts.</t>
  </si>
  <si>
    <t>New external bank accounts undergo ownership verification and customers receive notifications of bank-account changes.</t>
  </si>
  <si>
    <t>Per Change</t>
  </si>
  <si>
    <t>Fraud Risk/ Brokerage Operations</t>
  </si>
  <si>
    <t>Review a sample of bank-account changes to confirm ownership checks and customer notifications were completed.</t>
  </si>
  <si>
    <t>Bank verification logs; account-change logs; customer notifications</t>
  </si>
  <si>
    <t>C-003</t>
  </si>
  <si>
    <t>Limit employee and administrator access to approved job responsibilities.</t>
  </si>
  <si>
    <t>RBAC, manager approval, termination deactivation, and periodic user-access reviews are used to manage privileged access.</t>
  </si>
  <si>
    <t>Detective</t>
  </si>
  <si>
    <t>IT-Dependent Manual</t>
  </si>
  <si>
    <t>Quarterly</t>
  </si>
  <si>
    <t>IAM / IT Operations</t>
  </si>
  <si>
    <t>Review employee access and confirm users only have appropriate permissions and terminated employees were removed.</t>
  </si>
  <si>
    <t>User-access list; access review records; termination report</t>
  </si>
  <si>
    <t>C-004</t>
  </si>
  <si>
    <t>Detect and investigate suspicious activity across critical brokerage systems.</t>
  </si>
  <si>
    <t>Critical systems send authentication, administrative, and transaction activity to centralized security monitoring for alert review.</t>
  </si>
  <si>
    <t>Continuous/Daily</t>
  </si>
  <si>
    <t>Security Operations</t>
  </si>
  <si>
    <t>Check which systems send logs to monitoring and review a sample of high-risk alerts to confirm they were investigated.</t>
  </si>
  <si>
    <t>SIEM source list; alert logs; investigation records</t>
  </si>
  <si>
    <t>C-005</t>
  </si>
  <si>
    <t>Ensure trade orders are valid and not unintentionally duplicated before execution.</t>
  </si>
  <si>
    <t>The Order Management System performs automated order validation and duplicate-order checks before routing trades.</t>
  </si>
  <si>
    <t>Per Transaction</t>
  </si>
  <si>
    <t>Trading Technology / Brokerage Operations</t>
  </si>
  <si>
    <t>Review trade-order controls and sample orders to confirm validation and duplicate-order checks worked.</t>
  </si>
  <si>
    <t>OMS settings; order logs; duplicate/rejected order records</t>
  </si>
  <si>
    <t>C-006</t>
  </si>
  <si>
    <t>Restrict unnecessary exposure of sensitive customer information.</t>
  </si>
  <si>
    <t>Sensitive customer fields are masked by default and access to full information is restricted by role and logged.</t>
  </si>
  <si>
    <t xml:space="preserve">Continuous </t>
  </si>
  <si>
    <t>Information Security / Data Protection</t>
  </si>
  <si>
    <t>Review data-masking and employee-access settings to confirm sensitive customer data is restricted.</t>
  </si>
  <si>
    <t>Role/permission list; masking settings; access logs</t>
  </si>
  <si>
    <t>C-007</t>
  </si>
  <si>
    <t>Ensure production changes are authorized, tested, and recoverable.</t>
  </si>
  <si>
    <t>Production changes require documented requests, testing, approval, and rollback procedures before deployment.</t>
  </si>
  <si>
    <t>Technology / Change Management</t>
  </si>
  <si>
    <t>Review a sample of system changes to confirm they were approved, tested, and had rollback plans before release.</t>
  </si>
  <si>
    <t>Change tickets; approvals; test results; deployment records</t>
  </si>
  <si>
    <t>C-008</t>
  </si>
  <si>
    <t>Ensure critical third parties maintain appropriate operational and security controls.</t>
  </si>
  <si>
    <t>Vendors undergo risk-based due diligence, contractual review, and periodic assessment of control reports.</t>
  </si>
  <si>
    <t>Manual</t>
  </si>
  <si>
    <t>Onboarding/Annual</t>
  </si>
  <si>
    <t>Third-Party Risk / Procurement</t>
  </si>
  <si>
    <t>Review a sample of critical vendors to confirm due diligence and periodic risk reviews were completed.</t>
  </si>
  <si>
    <t>Vendor list; risk assessments; contracts; SOC reports</t>
  </si>
  <si>
    <t>C-009</t>
  </si>
  <si>
    <t>Ensure critical systems and data can be restored after disruption.</t>
  </si>
  <si>
    <t>Backups and periodic disaster-recovery exercises are used to validate restoration of critical brokerage systems and data.</t>
  </si>
  <si>
    <t>Corrective</t>
  </si>
  <si>
    <t>Semiannual</t>
  </si>
  <si>
    <t>Business Continuity / Technology</t>
  </si>
  <si>
    <t>Review the latest disaster-recovery test and confirm systems/data were restored within expected recovery targets.</t>
  </si>
  <si>
    <t>DR plan; backup logs; test results; recovery times</t>
  </si>
  <si>
    <t>C-010</t>
  </si>
  <si>
    <t>Detect and resolve differences between internal and external transaction records.</t>
  </si>
  <si>
    <t>Daily reconciliation compares internal transaction records with external records and generates exceptions for review.</t>
  </si>
  <si>
    <t>Daily</t>
  </si>
  <si>
    <t>Review daily reconciliation reports and follow selected mismatches until they were investigated and resolved.</t>
  </si>
  <si>
    <t>Reconciliation reports; exception logs; aging reports; review signoffs</t>
  </si>
  <si>
    <t>C-011</t>
  </si>
  <si>
    <t>Identify and remediate security vulnerabilities within established timelines.</t>
  </si>
  <si>
    <t>Automated vulnerability scanning identifies weaknesses and tracks remediation based on severity.</t>
  </si>
  <si>
    <t>Weekly</t>
  </si>
  <si>
    <t>Review a sample of High/Critical vulnerabilities and confirm they were fixed within required timelines.</t>
  </si>
  <si>
    <t>Vulnerability reports; remediation tickets; SLA rules; risk-acceptance records</t>
  </si>
  <si>
    <t>C-012</t>
  </si>
  <si>
    <t>Detect delayed or stale customer-facing market data.</t>
  </si>
  <si>
    <t>Automated monitoring identifies delayed market-data feeds and generates alerts when freshness thresholds are exceeded.</t>
  </si>
  <si>
    <t>Review market-data monitoring settings and sample stale-data events to confirm alerts were generated.</t>
  </si>
  <si>
    <t>Monitoring settings; alert logs; incident records</t>
  </si>
  <si>
    <t>Risk Domains</t>
  </si>
  <si>
    <t>Likelihood/Impact Score</t>
  </si>
  <si>
    <t>Meaning</t>
  </si>
  <si>
    <t>Count</t>
  </si>
  <si>
    <t>Inherent Score Range</t>
  </si>
  <si>
    <t>Term / Technique</t>
  </si>
  <si>
    <t>Topics</t>
  </si>
  <si>
    <t>Key Term</t>
  </si>
  <si>
    <t>Definition</t>
  </si>
  <si>
    <t>Risk Register</t>
  </si>
  <si>
    <t>Risk &amp; Control Matrix</t>
  </si>
  <si>
    <t>Very Low</t>
  </si>
  <si>
    <t>Critical</t>
  </si>
  <si>
    <t>Low</t>
  </si>
  <si>
    <t>1-4</t>
  </si>
  <si>
    <t>Risk &amp; Controls</t>
  </si>
  <si>
    <t>Inherent Risk, Control, Control Objective, Control Gap, Preventive/Detective/Corrective, RBAC, Least Privilege, SoD</t>
  </si>
  <si>
    <t>RTO</t>
  </si>
  <si>
    <t>Maximum targeted time to restore a system after disruption</t>
  </si>
  <si>
    <t>Automated Control</t>
  </si>
  <si>
    <t>A control performed automatically by a system without requiring a person to carry it out each time.</t>
  </si>
  <si>
    <r>
      <t xml:space="preserve">A list of identified risks showing what could go wrong, why it could happen, how serious it is, existing controls, control gaps, recommendations, and risk owners. It answers: </t>
    </r>
    <r>
      <rPr>
        <b/>
        <sz val="11"/>
        <color theme="1"/>
        <rFont val="Calibri"/>
        <family val="2"/>
        <scheme val="minor"/>
      </rPr>
      <t>“What are our risks and how important are they?”</t>
    </r>
  </si>
  <si>
    <r>
      <t xml:space="preserve">A detailed mapping of each risk to the control designed to address it, including control type, frequency, owner, audit procedure, evidence, and design assessment. It answers: </t>
    </r>
    <r>
      <rPr>
        <b/>
        <sz val="11"/>
        <color theme="1"/>
        <rFont val="Calibri"/>
        <family val="2"/>
        <scheme val="minor"/>
      </rPr>
      <t>“What control addresses this risk, and how would we test it?”</t>
    </r>
  </si>
  <si>
    <t>High</t>
  </si>
  <si>
    <t>Moderate</t>
  </si>
  <si>
    <t>5-9</t>
  </si>
  <si>
    <t>Audit &amp; Evidence</t>
  </si>
  <si>
    <t>Audit Procedure, Audit Evidence, Sampling, Design Effectiveness, Operating Effectiveness, Access Review</t>
  </si>
  <si>
    <t>RPO</t>
  </si>
  <si>
    <t>Maximum acceptable amount of data loss measured in time</t>
  </si>
  <si>
    <t>Manual Control</t>
  </si>
  <si>
    <t>A control performed directly by a person, such as reviewing or approving a report.</t>
  </si>
  <si>
    <t>Identify and rate the risk.</t>
  </si>
  <si>
    <t>Map and test the control.</t>
  </si>
  <si>
    <t>10-16</t>
  </si>
  <si>
    <t>Technology &amp; Resilience</t>
  </si>
  <si>
    <t>MFA, SIEM, Encryption, RTO, RPO, Change Management, Vulnerability Remediation</t>
  </si>
  <si>
    <t>RBAC</t>
  </si>
  <si>
    <t>Role-Based Access Control. Access is assigned based on a person's job role rather than individually giving every employee permissions.</t>
  </si>
  <si>
    <t>IT-Dependent Manual Control</t>
  </si>
  <si>
    <t>A control performed by a person using information or reports generated by a system.</t>
  </si>
  <si>
    <t>17-25</t>
  </si>
  <si>
    <t>Financial / Operational</t>
  </si>
  <si>
    <t>Reconciliation, Exception, Exception Aging, Vendor Due Diligence, SLA, SOC Report</t>
  </si>
  <si>
    <t>Least Privilege</t>
  </si>
  <si>
    <t>Users receive only the minimum access needed to perform their job responsibilities.</t>
  </si>
  <si>
    <t>Sampling</t>
  </si>
  <si>
    <t>Testing a smaller selection of transactions, users, or events instead of examining the entire population.</t>
  </si>
  <si>
    <t>Very High</t>
  </si>
  <si>
    <t>Excel Techniques</t>
  </si>
  <si>
    <t>COUNTIF, COUNTIFS, XLOOKUP, Data Validation, Conditional Formatting, PivotTable, Relative/Absolute References</t>
  </si>
  <si>
    <t>Segregation of Duties (SoD)</t>
  </si>
  <si>
    <t>Separates important responsibilities so one person cannot control an entire sensitive process from beginning to end.</t>
  </si>
  <si>
    <t>Data Masking</t>
  </si>
  <si>
    <t>Hiding part of sensitive information so users only see what they need for their job.</t>
  </si>
  <si>
    <t>MFA</t>
  </si>
  <si>
    <t>Multi-Factor Authentication. Requires more than one form of verification before granting access.</t>
  </si>
  <si>
    <t>Exception Aging</t>
  </si>
  <si>
    <t>Tracking how long an unresolved exception has remained open.</t>
  </si>
  <si>
    <t>Step-Up Authentication</t>
  </si>
  <si>
    <t>Requires additional identity verification when a user performs a higher-risk action, such as changing a bank account or requesting a large withdrawal.</t>
  </si>
  <si>
    <t>Rollback Plan</t>
  </si>
  <si>
    <t>A documented method for returning a system to its previous version if a change causes problems.</t>
  </si>
  <si>
    <t>PII</t>
  </si>
  <si>
    <t>Personally Identifiable Information. Information that can identify a person, such as name, SSN, address, or date of birth.</t>
  </si>
  <si>
    <t>Vulnerability Remediation</t>
  </si>
  <si>
    <t>The process of fixing or reducing identified security weaknesses.</t>
  </si>
  <si>
    <t>Encryption at Rest</t>
  </si>
  <si>
    <t>Protects data while it is stored in databases, files, backups, or other storage systems.</t>
  </si>
  <si>
    <t>KYC</t>
  </si>
  <si>
    <t>Know Your Customer. The process used by financial institutions to verify a customer's identity.</t>
  </si>
  <si>
    <t>Encryption in Transit</t>
  </si>
  <si>
    <t>Protects data while it moves between systems or across networks.</t>
  </si>
  <si>
    <t>The person or team responsible for making sure a control is maintained and performed properly.</t>
  </si>
  <si>
    <t>SIEM</t>
  </si>
  <si>
    <t>Security Information and Event Management. Centralizes logs from multiple systems and helps detect and investigate suspicious activity.</t>
  </si>
  <si>
    <t>Inherent Risk</t>
  </si>
  <si>
    <t>The level of risk that exists before considering the effect of controls.</t>
  </si>
  <si>
    <t>Audit Trail</t>
  </si>
  <si>
    <t>A record showing who performed an action, what they did, and when it occurred.</t>
  </si>
  <si>
    <t>A weakness or missing element that prevents a control environment from fully addressing a risk.</t>
  </si>
  <si>
    <t>Preventive Control</t>
  </si>
  <si>
    <t>A control designed to stop an unwanted event before it occurs.</t>
  </si>
  <si>
    <t>The result that a control is intended to achieve.</t>
  </si>
  <si>
    <t>Detective Control</t>
  </si>
  <si>
    <t>A control designed to identify an unwanted event or problem after or while it occurs.</t>
  </si>
  <si>
    <t>The steps an auditor performs to determine whether a control exists and works as intended.</t>
  </si>
  <si>
    <t>Corrective Control</t>
  </si>
  <si>
    <t>A control designed to fix a problem or restore operations after an event occurs.</t>
  </si>
  <si>
    <t>Audit Evidence</t>
  </si>
  <si>
    <t>Documents, logs, reports, configurations, or other information used to support an auditor's conclusion.</t>
  </si>
  <si>
    <t>Reconciliation</t>
  </si>
  <si>
    <t>Comparing two sets of records to confirm they match and investigating any differences.</t>
  </si>
  <si>
    <t>Design Effectiveness</t>
  </si>
  <si>
    <t>Whether a control is appropriately designed to reduce the identified risk if it operates as intended.</t>
  </si>
  <si>
    <t>Exception</t>
  </si>
  <si>
    <t>A transaction, record, or event that does not match expected results and requires investigation.</t>
  </si>
  <si>
    <t>Operating Effectiveness</t>
  </si>
  <si>
    <t>Whether a control actually operated consistently and correctly during the period being reviewed.</t>
  </si>
  <si>
    <t>SLA</t>
  </si>
  <si>
    <t>Service-Level Agreement. Defines expected service levels or required timelines, such as system uptime or vulnerability-remediation deadlines.</t>
  </si>
  <si>
    <t>Risk Acceptance</t>
  </si>
  <si>
    <t>A documented decision by management to knowingly accept a risk rather than immediately remediate it.</t>
  </si>
  <si>
    <t>SOC Report</t>
  </si>
  <si>
    <t>An independent assurance report used to evaluate controls at a third-party service provider.</t>
  </si>
  <si>
    <t>Access Review / Recertification</t>
  </si>
  <si>
    <t>A periodic review to confirm users still need the access and permissions assigned to them.</t>
  </si>
  <si>
    <t>Vendor Due Diligence</t>
  </si>
  <si>
    <t>Evaluating a third party's security, operations, financial stability, and controls before or during a business relationship.</t>
  </si>
  <si>
    <t>A controlled process for requesting, testing, approving, implementing, and documenting changes to technology systems.</t>
  </si>
  <si>
    <t>Count of Risk ID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</si>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</sst>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wrapText="1"/>
    </xf>
    <xf numFmtId="0" fontId="0" fillId="0" borderId="0" xfId="0" applyAlignment="1">
      <alignment vertical="top"/>
    </xf>
    <xf numFmtId="0" fontId="0" fillId="0" borderId="0" xfId="0" applyAlignment="1">
      <alignment horizontal="left" wrapText="1"/>
    </xf>
    <xf numFmtId="0" fontId="0" fillId="0" borderId="0" xfId="0" pivotButton="1"/>
    <xf numFmtId="0" fontId="0" fillId="0" borderId="0" xfId="0" applyAlignment="1">
      <alignment vertical="center"/>
    </xf>
    <xf numFmtId="0" fontId="0" fillId="0" borderId="0" xfId="0" applyAlignment="1">
      <alignment vertical="center" wrapText="1"/>
    </xf>
    <xf numFmtId="0" fontId="1" fillId="0" borderId="0" xfId="0" applyFont="1" applyAlignment="1">
      <alignment vertical="top" wrapText="1"/>
    </xf>
    <xf numFmtId="0" fontId="0" fillId="0" borderId="0" xfId="0" applyAlignment="1">
      <alignment horizontal="left"/>
    </xf>
    <xf numFmtId="49" fontId="0" fillId="0" borderId="0" xfId="0" applyNumberFormat="1" applyAlignment="1">
      <alignment horizontal="left"/>
    </xf>
    <xf numFmtId="0" fontId="1" fillId="0" borderId="0" xfId="0" applyFont="1" applyAlignment="1">
      <alignment vertical="top"/>
    </xf>
  </cellXfs>
  <cellStyles count="1">
    <cellStyle name="Normal" xfId="0" builtinId="0"/>
  </cellStyles>
  <dxfs count="24">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color theme="1"/>
      </font>
      <fill>
        <patternFill patternType="solid">
          <bgColor rgb="FFC00000"/>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theme="1"/>
      </font>
      <fill>
        <patternFill patternType="solid">
          <bgColor rgb="FFC0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[AU_Securities_Risk_Controls_Workbook.xlsx]Risk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 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 Summary'!$E$2</c:f>
              <c:strCache>
                <c:ptCount val="1"/>
                <c:pt idx="0">
                  <c:v>Total</c:v>
                </c:pt>
              </c:strCache>
            </c:strRef>
          </c:tx>
          <c:spPr>
            <a:solidFill>
              <a:schemeClr val="accent1"/>
            </a:solidFill>
            <a:ln>
              <a:noFill/>
            </a:ln>
            <a:effectLst/>
          </c:spPr>
          <c:invertIfNegative val="0"/>
          <c:cat>
            <c:strRef>
              <c:f>'Risk Summary'!$D$3:$D$7</c:f>
              <c:strCache>
                <c:ptCount val="4"/>
                <c:pt idx="0">
                  <c:v>Critical</c:v>
                </c:pt>
                <c:pt idx="1">
                  <c:v>High</c:v>
                </c:pt>
                <c:pt idx="2">
                  <c:v>Low</c:v>
                </c:pt>
                <c:pt idx="3">
                  <c:v>Moderate</c:v>
                </c:pt>
              </c:strCache>
            </c:strRef>
          </c:cat>
          <c:val>
            <c:numRef>
              <c:f>'Risk Summary'!$E$3:$E$7</c:f>
              <c:numCache>
                <c:formatCode>General</c:formatCode>
                <c:ptCount val="4"/>
                <c:pt idx="0">
                  <c:v>2</c:v>
                </c:pt>
                <c:pt idx="1">
                  <c:v>8</c:v>
                </c:pt>
                <c:pt idx="2">
                  <c:v>1</c:v>
                </c:pt>
                <c:pt idx="3">
                  <c:v>1</c:v>
                </c:pt>
              </c:numCache>
            </c:numRef>
          </c:val>
          <c:extLst>
            <c:ext xmlns:c16="http://schemas.microsoft.com/office/drawing/2014/chart" uri="{C3380CC4-5D6E-409C-BE32-E72D297353CC}">
              <c16:uniqueId val="{00000000-B94C-4B7E-829F-68F385C8C288}"/>
            </c:ext>
          </c:extLst>
        </c:ser>
        <c:dLbls>
          <c:showLegendKey val="0"/>
          <c:showVal val="0"/>
          <c:showCatName val="0"/>
          <c:showSerName val="0"/>
          <c:showPercent val="0"/>
          <c:showBubbleSize val="0"/>
        </c:dLbls>
        <c:gapWidth val="219"/>
        <c:overlap val="-27"/>
        <c:axId val="986067464"/>
        <c:axId val="986069512"/>
      </c:barChart>
      <c:catAx>
        <c:axId val="986067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69512"/>
        <c:crosses val="autoZero"/>
        <c:auto val="1"/>
        <c:lblAlgn val="ctr"/>
        <c:lblOffset val="100"/>
        <c:noMultiLvlLbl val="0"/>
      </c:catAx>
      <c:valAx>
        <c:axId val="986069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67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200025</xdr:colOff>
      <xdr:row>0</xdr:row>
      <xdr:rowOff>0</xdr:rowOff>
    </xdr:from>
    <xdr:to>
      <xdr:col>17</xdr:col>
      <xdr:colOff>66675</xdr:colOff>
      <xdr:row>14</xdr:row>
      <xdr:rowOff>76200</xdr:rowOff>
    </xdr:to>
    <xdr:graphicFrame macro="">
      <xdr:nvGraphicFramePr>
        <xdr:cNvPr id="2" name="Chart 1">
          <a:extLst>
            <a:ext uri="{FF2B5EF4-FFF2-40B4-BE49-F238E27FC236}">
              <a16:creationId xmlns:a16="http://schemas.microsoft.com/office/drawing/2014/main" id="{DD0E5F69-25CD-2A95-3CC0-D9AEEAE2F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4.05202638889" createdVersion="8" refreshedVersion="8" minRefreshableVersion="3" recordCount="13" xr:uid="{39DB3D6E-B473-4165-B967-BACD89A9BE4B}">
  <cacheSource type="worksheet">
    <worksheetSource ref="A1:N14" sheet="Risk Register"/>
  </cacheSource>
  <cacheFields count="14">
    <cacheField name="Risk ID" numFmtId="0">
      <sharedItems containsBlank="1"/>
    </cacheField>
    <cacheField name="Risk Domain" numFmtId="0">
      <sharedItems containsBlank="1" count="11">
        <m/>
        <s v="Identity &amp; Access Management"/>
        <s v="Transaction &amp; Fraud Controls"/>
        <s v="Logging &amp; Monitoring"/>
        <s v="Trade Processing &amp; Operations"/>
        <s v="Data Protection &amp; Privacy"/>
        <s v="Change Management"/>
        <s v="Third-Party Risk"/>
        <s v="Business Continuity &amp; Resilience"/>
        <s v="Vulnerability &amp; Patch Management"/>
        <s v="Market Data &amp; Customer Experience"/>
      </sharedItems>
    </cacheField>
    <cacheField name="Business Process" numFmtId="0">
      <sharedItems containsBlank="1"/>
    </cacheField>
    <cacheField name="Asset/System" numFmtId="0">
      <sharedItems containsBlank="1"/>
    </cacheField>
    <cacheField name="Risk Statement" numFmtId="0">
      <sharedItems containsBlank="1" longText="1"/>
    </cacheField>
    <cacheField name="Threat/Cause" numFmtId="0">
      <sharedItems containsBlank="1"/>
    </cacheField>
    <cacheField name="Likelihood" numFmtId="0">
      <sharedItems containsString="0" containsBlank="1" containsNumber="1" containsInteger="1" minValue="2" maxValue="4"/>
    </cacheField>
    <cacheField name="Impact" numFmtId="0">
      <sharedItems containsString="0" containsBlank="1" containsNumber="1" containsInteger="1" minValue="2" maxValue="5"/>
    </cacheField>
    <cacheField name="Inherent Risk Score" numFmtId="0">
      <sharedItems containsString="0" containsBlank="1" containsNumber="1" containsInteger="1" minValue="4" maxValue="20"/>
    </cacheField>
    <cacheField name="Risk Rating" numFmtId="0">
      <sharedItems containsBlank="1" count="5">
        <m/>
        <s v="Critical"/>
        <s v="High"/>
        <s v="Moderate"/>
        <s v="Low"/>
      </sharedItems>
    </cacheField>
    <cacheField name="Existing Controls" numFmtId="0">
      <sharedItems containsBlank="1"/>
    </cacheField>
    <cacheField name="Control Gap" numFmtId="0">
      <sharedItems containsBlank="1"/>
    </cacheField>
    <cacheField name="Recommendation" numFmtId="0">
      <sharedItems containsBlank="1" longText="1"/>
    </cacheField>
    <cacheField name="Risk Own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m/>
    <x v="0"/>
    <m/>
    <m/>
    <m/>
    <m/>
    <m/>
    <m/>
    <m/>
    <x v="0"/>
    <m/>
    <m/>
    <m/>
    <m/>
  </r>
  <r>
    <s v="R-001"/>
    <x v="1"/>
    <s v="Customer Login &amp; Authentication"/>
    <s v="Authentication &amp; MFA Service / Customer Brokerage Account"/>
    <s v="Unauthorized users may gain access to customer brokerage accounts if customer credentials or authentication mechanisms are compromised, potentially resulting in fraudulent trades, unauthorized withdrawals, or exposure of sensitive customer information."/>
    <s v="Phishing, credential theft, credential stuffing, compromised passwords"/>
    <n v="4"/>
    <n v="5"/>
    <n v="20"/>
    <x v="1"/>
    <s v="MFA for customer authentication; failed-login lockout; suspicious-login monitoring"/>
    <s v="Step-up authentication is not consistently required for high-risk account changes such as adding a new bank account or modifying customer contact information."/>
    <s v="Require step-up MFA or additional identity verification for high-risk account changes and unusual withdrawal activity."/>
    <s v="Information Security / Brokerage Operations"/>
  </r>
  <r>
    <s v="R-002"/>
    <x v="2"/>
    <s v="Bank Account Changes &amp; Withdrawals"/>
    <s v="Brokerage Core Platform / Bank-ACH Processor / Customer Brokerage Account"/>
    <s v="Unauthorized users may add or modify linked bank accounts and initiate fraudulent withdrawals, potentially resulting in customer financial losses, reimbursement costs, regulatory exposure, and reputational damage."/>
    <s v="Account takeover, compromised credentials, social engineering, unauthorized bank-account changes"/>
    <n v="4"/>
    <n v="5"/>
    <n v="20"/>
    <x v="1"/>
    <s v="Customer notifications for bank-account changes; withdrawal transaction monitoring; withdrawal limits; bank-account ownership verification"/>
    <s v="Step-up authentication is not required before adding a new external bank account, and withdrawals may be initiated shortly after the account change."/>
    <s v="Require step-up MFA and bank-account ownership verification for new external accounts and implement additional review or temporary withdrawal restrictions following high-risk bank-account changes."/>
    <s v="Fraud Risk / Brokerage Operations / Information Security"/>
  </r>
  <r>
    <s v="R-003"/>
    <x v="1"/>
    <s v="Employee &amp; Privileged Access Management"/>
    <s v="Employee Admin Portal / Brokerage Core Platform / Customer Account Database"/>
    <s v="Employees or administrators may retain excessive or inappropriate access to customer accounts and critical brokerage systems, potentially enabling unauthorized changes, exposure of sensitive information, fraud, or circumvention of internal controls."/>
    <s v="Excessive permissions, stale accounts, improper role changes, delayed account termination"/>
    <n v="3"/>
    <n v="5"/>
    <n v="15"/>
    <x v="2"/>
    <s v="Role-based access control (RBAC); MFA for employee access; manager approval for privileged access; termination-based account deactivation; privileged activity logging"/>
    <s v="Periodic access reviews are not performed consistently, increasing the risk that employees who change roles or leave the organization may retain unnecessary or privileged access."/>
    <s v="Perform quarterly user-access reviews, automate account deactivation for terminated employees, and require documented approval for new or elevated privileged access."/>
    <s v="Identity &amp; Access Management / IT Operations"/>
  </r>
  <r>
    <s v="R-004"/>
    <x v="3"/>
    <s v="Security Monitoring &amp; Incident Detection"/>
    <s v="Security Logging &amp; Monitoring / Authentication &amp; MFA / Employee Admin Portal / Brokerage Core Platform"/>
    <s v="Security-relevant activity may not be logged, retained, or reviewed adequately, potentially delaying detection of account compromise, employee misuse, fraudulent activity, or other security incidents."/>
    <s v="Incomplete logging, inadequate alerting, insufficient log review, improper log retention"/>
    <n v="3"/>
    <n v="4"/>
    <n v="12"/>
    <x v="2"/>
    <s v="Centralized security logging; automated alerts for suspicious activity; authentication logs; administrative activity logs; defined log-retention requirements"/>
    <s v="Logging coverage is inconsistent across critical systems, and alerts for high-risk administrative and customer-account activity are not reviewed within a defined timeframe."/>
    <s v="Ensure critical systems send security and administrative activity logs to centralized monitoring, define alert thresholds for high-risk events, and establish documented review and escalation timeframes."/>
    <s v="Information Security / Security Operations"/>
  </r>
  <r>
    <s v="R-005"/>
    <x v="4"/>
    <s v="Trade Order Processing &amp; Execution"/>
    <s v="Brokerage Core Platform / Order Management System / Trade Execution Provider"/>
    <s v="Trade orders may be duplicated, incorrectly processed, rejected without proper handling, or inaccurately recorded due to system, interface, or processing failures, potentially resulting in incorrect customer positions, financial losses, customer complaints, or operational and regulatory exposure."/>
    <s v="System errors, interface failures, duplicate order submission, processing errors, inaccurate execution data"/>
    <n v="3"/>
    <n v="5"/>
    <n v="15"/>
    <x v="2"/>
    <s v="Pre-trade order validation; duplicate-order prevention; execution confirmations; order-status monitoring; daily trade reconciliation; exception reporting"/>
    <s v="Trade execution records are not reconciled to internal order records in near real time, increasing the risk that failed, duplicated, or incorrectly recorded trades may not be identified promptly."/>
    <s v="Implement automated reconciliation between the Order Management System and Trade Execution Provider, generate alerts for unmatched or duplicate transactions, and establish documented procedures for timely investigation and resolution of trade exceptions."/>
    <s v="Trading Operations / Brokerage Operations / Technology"/>
  </r>
  <r>
    <s v="R-006"/>
    <x v="5"/>
    <s v="Customer Data Storage &amp; Access"/>
    <s v="Customer Account Database / Employee Admin Portal / Brokerage Core Platform"/>
    <s v="Sensitive customer information may be exposed, accessed by unauthorized individuals, or improperly disclosed due to inadequate data-protection controls, potentially resulting in identity theft, financial fraud, regulatory exposure, customer harm, and reputational damage."/>
    <s v="Unauthorized access, excessive employee permissions, database compromise, improper data handling, unencrypted or insufficiently protected sensitive information"/>
    <n v="3"/>
    <n v="5"/>
    <n v="15"/>
    <x v="2"/>
    <s v="Encryption at rest and in transit; role-based access controls; sensitive-data masking; database access logging; MFA for employee access"/>
    <s v="Customer-support personnel can view certain sensitive customer information in full even when the information is not required to perform routine support responsibilities."/>
    <s v="Mask sensitive customer information by default, restrict access to full data based on documented business need, and log and periodically review instances where employees access unmasked sensitive information."/>
    <s v="Information Security / Data Protection / Brokerage Operations"/>
  </r>
  <r>
    <s v="R-007"/>
    <x v="6"/>
    <s v="Application &amp; Production Change Management"/>
    <s v="Web / Mobile Application / Brokerage Core Platform / Order Management System"/>
    <s v="Unauthorized, inadequately tested, or improperly implemented system changes may disrupt critical brokerage operations, introduce security vulnerabilities, or result in inaccurate customer and transaction data."/>
    <s v="Insufficient testing, unauthorized changes, inadequate approvals, configuration errors, failed deployments"/>
    <n v="3"/>
    <n v="5"/>
    <n v="15"/>
    <x v="2"/>
    <s v="Documented change requests; management approval; pre-production testing; separation of development and production access; rollback procedures; emergency change process"/>
    <s v="Emergency production changes may be implemented before independent approval and are not consistently subjected to documented post-implementation review."/>
    <s v="Require documented post-implementation review and independent approval for emergency changes, including validation of testing results, business impact, and rollback readiness."/>
    <s v="Technology / Application Development / Change Management"/>
  </r>
  <r>
    <s v="R-008"/>
    <x v="7"/>
    <s v="Third-Party Service Management"/>
    <s v="Cloud Service Provider / Bank-ACH Processor / Identity Verification Provider / Trade Execution Provider"/>
    <s v="Critical third-party service providers may experience security incidents, operational failures, or service outages that disrupt A.U. Securities' brokerage operations, expose sensitive information, or affect the processing of customer transactions."/>
    <s v="Vendor security breach, service outage, inadequate vendor controls, concentration risk, weak third-party oversight"/>
    <n v="3"/>
    <n v="5"/>
    <n v="15"/>
    <x v="2"/>
    <s v="Pre-contract vendor due diligence; contractual security requirements; service-level agreements; periodic vendor assessments; SOC report review; incident-notification requirements"/>
    <s v="Critical vendors are not consistently classified by risk level, and periodic reassessments are not completed for all providers that support sensitive data or critical brokerage operations."/>
    <s v="Implement a formal third-party risk-tiering process, require periodic reassessments of critical vendors, document review of independent control reports, and establish remediation and escalation procedures for identified vendor-control weaknesses."/>
    <s v="Third-Party Risk / Technology / Procurement"/>
  </r>
  <r>
    <s v="R-009"/>
    <x v="8"/>
    <s v="Business Continuity &amp; Disaster Recovery"/>
    <s v="Cloud / Infrastructure / Brokerage Core Platform / Customer Account Database / Backup &amp; Disaster Recovery"/>
    <s v="Critical brokerage systems may become unavailable or customer and transaction data may be unrecoverable following a system failure, cloud-service outage, cyber incident, or other disruption, potentially preventing customers from accessing accounts or completing brokerage transactions."/>
    <s v="Cloud outage, hardware or system failure, corrupted data, inadequate backups, unsuccessful disaster recovery"/>
    <n v="3"/>
    <n v="5"/>
    <n v="15"/>
    <x v="2"/>
    <s v="Automated backups; redundant infrastructure; disaster-recovery environment; system availability monitoring; documented business continuity and disaster-recovery plans"/>
    <s v="Disaster-recovery testing is performed inconsistently and does not fully validate the recovery of critical brokerage processes, customer data, and dependencies on third-party service providers."/>
    <s v="Establish defined recovery time and recovery point objectives for critical systems, perform periodic end-to-end disaster-recovery testing, validate restoration of customer and transaction data, and include critical third-party dependencies in recovery exercises."/>
    <s v="Business Continuity / Technology / Brokerage Operations"/>
  </r>
  <r>
    <s v="R-010"/>
    <x v="4"/>
    <s v="Transaction Reconciliation &amp; Account Records"/>
    <s v="Brokerage Core Platform / Customer Account Database / Order Management System / Bank-ACH Processor"/>
    <s v="Differences between internal brokerage records and external transaction records may not be identified or resolved promptly, potentially resulting in inaccurate customer balances, incorrect positions, transaction errors, or financial reporting issues."/>
    <s v="Interface errors, delayed transaction updates, failed data transfers, inaccurate records, unreconciled exceptions"/>
    <n v="2"/>
    <n v="4"/>
    <n v="8"/>
    <x v="3"/>
    <s v="Daily transaction reconciliation; automated exception reports; trade execution confirmations; bank transaction matching; supervisory review of unresolved exceptions"/>
    <s v="Certain reconciliation exceptions may remain unresolved beyond established review periods, and escalation requirements for aging exceptions are not consistently documented."/>
    <s v="Establish documented escalation thresholds for unresolved reconciliation exceptions, track exception aging, and require supervisory review of material or overdue differences."/>
    <s v="Brokerage Operations / Finance Operations"/>
  </r>
  <r>
    <s v="R-011"/>
    <x v="9"/>
    <s v="Vulnerability Identification &amp; Remediation"/>
    <s v="Web / Mobile Application / Cloud Infrastructure / Brokerage Core Platform"/>
    <s v="Security vulnerabilities in critical brokerage systems may not be identified or remediated within appropriate timeframes, increasing the risk of unauthorized access, system compromise, data exposure, or disruption of brokerage operations."/>
    <s v="Unpatched software, outdated components, delayed remediation, configuration weaknesses, inadequate vulnerability scanning"/>
    <n v="3"/>
    <n v="4"/>
    <n v="12"/>
    <x v="2"/>
    <s v="Automated vulnerability scanning; security patching procedures; remediation deadlines based on severity; configuration reviews; vulnerability tracking"/>
    <s v="Establish formal escalation procedures for overdue high-risk vulnerabilities, require documented remediation or approved risk acceptance, and provide management with periodic reporting on outstanding vulnerabilities."/>
    <s v="Information Security / Technology Operations"/>
    <s v="Information Security / Technology Operations"/>
  </r>
  <r>
    <s v="R-012"/>
    <x v="10"/>
    <s v="Customer Market Data Display"/>
    <s v="Web / Mobile Application / Market Data Provider"/>
    <s v="Temporary delays or inaccuracies in customer-facing market data may cause customers to view outdated quotes or pricing information, potentially creating confusion, customer complaints, or minor service issues."/>
    <s v="Delayed market-data feed, temporary API failure, stale cached pricing, display error"/>
    <n v="2"/>
    <n v="2"/>
    <n v="4"/>
    <x v="4"/>
    <s v="Redundant market-data feeds; timestamped quotes; automated feed-health monitoring; stale-data alerts"/>
    <s v="Customer-facing applications do not consistently display a clear warning when market-data updates are temporarily delayed."/>
    <s v="Display visible stale-data indicators when market-data feeds are delayed and automatically alert technology operations when quote updates exceed established thresholds."/>
    <s v="Market Data Operations / Technolog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4B98B-C1AA-4667-9FB3-A14F02869C50}" name="PivotTable1" cacheId="1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3" firstHeaderRow="1" firstDataRow="1" firstDataCol="1"/>
  <pivotFields count="14">
    <pivotField dataField="1" compact="0" outline="0" showAll="0"/>
    <pivotField axis="axisRow" compact="0" outline="0" showAll="0">
      <items count="12">
        <item x="8"/>
        <item x="6"/>
        <item x="5"/>
        <item x="1"/>
        <item x="3"/>
        <item x="10"/>
        <item x="7"/>
        <item x="4"/>
        <item x="2"/>
        <item x="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11">
    <i>
      <x/>
    </i>
    <i>
      <x v="1"/>
    </i>
    <i>
      <x v="2"/>
    </i>
    <i>
      <x v="3"/>
    </i>
    <i>
      <x v="4"/>
    </i>
    <i>
      <x v="5"/>
    </i>
    <i>
      <x v="6"/>
    </i>
    <i>
      <x v="7"/>
    </i>
    <i>
      <x v="8"/>
    </i>
    <i>
      <x v="9"/>
    </i>
    <i t="grand">
      <x/>
    </i>
  </rowItems>
  <colItems count="1">
    <i/>
  </colItems>
  <dataFields count="1">
    <dataField name="Count of Ri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AD3E4-2EA0-4219-A15D-73241F184491}" name="PivotTable3" cacheId="1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5:I27" firstHeaderRow="1" firstDataRow="2" firstDataCol="1"/>
  <pivotFields count="14">
    <pivotField dataField="1" compact="0" outline="0" showAll="0"/>
    <pivotField axis="axisRow" compact="0" outline="0" showAll="0">
      <items count="12">
        <item x="8"/>
        <item x="6"/>
        <item x="5"/>
        <item x="1"/>
        <item x="3"/>
        <item x="10"/>
        <item x="7"/>
        <item x="4"/>
        <item x="2"/>
        <item x="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6">
        <item x="1"/>
        <item x="2"/>
        <item x="4"/>
        <item x="3"/>
        <item x="0"/>
        <item t="default"/>
      </items>
    </pivotField>
    <pivotField compact="0" outline="0" showAll="0"/>
    <pivotField compact="0" outline="0" showAll="0"/>
    <pivotField compact="0" outline="0" showAll="0"/>
    <pivotField compact="0" outline="0" showAll="0"/>
  </pivotFields>
  <rowFields count="1">
    <field x="1"/>
  </rowFields>
  <rowItems count="11">
    <i>
      <x/>
    </i>
    <i>
      <x v="1"/>
    </i>
    <i>
      <x v="2"/>
    </i>
    <i>
      <x v="3"/>
    </i>
    <i>
      <x v="4"/>
    </i>
    <i>
      <x v="5"/>
    </i>
    <i>
      <x v="6"/>
    </i>
    <i>
      <x v="7"/>
    </i>
    <i>
      <x v="8"/>
    </i>
    <i>
      <x v="9"/>
    </i>
    <i t="grand">
      <x/>
    </i>
  </rowItems>
  <colFields count="1">
    <field x="9"/>
  </colFields>
  <colItems count="5">
    <i>
      <x/>
    </i>
    <i>
      <x v="1"/>
    </i>
    <i>
      <x v="2"/>
    </i>
    <i>
      <x v="3"/>
    </i>
    <i t="grand">
      <x/>
    </i>
  </colItems>
  <dataFields count="1">
    <dataField name="Count of Ri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C3338A-4EF6-465A-BC13-404D6F723793}" name="PivotTable2" cacheId="1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D2:E7" firstHeaderRow="1" firstDataRow="1" firstDataCol="1"/>
  <pivotFields count="14">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2"/>
        <item x="4"/>
        <item x="3"/>
        <item h="1" x="0"/>
        <item t="default"/>
      </items>
    </pivotField>
    <pivotField compact="0" outline="0" showAll="0"/>
    <pivotField compact="0" outline="0" showAll="0"/>
    <pivotField compact="0" outline="0" showAll="0"/>
    <pivotField compact="0" outline="0" showAll="0"/>
  </pivotFields>
  <rowFields count="1">
    <field x="9"/>
  </rowFields>
  <rowItems count="5">
    <i>
      <x/>
    </i>
    <i>
      <x v="1"/>
    </i>
    <i>
      <x v="2"/>
    </i>
    <i>
      <x v="3"/>
    </i>
    <i t="grand">
      <x/>
    </i>
  </rowItems>
  <colItems count="1">
    <i/>
  </colItems>
  <dataFields count="1">
    <dataField name="Count of Risk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3CB58-A58E-4D17-949E-A18F0225A87B}" name="Table1" displayName="Table1" ref="A1:N2" insertRow="1" insertRowShift="1" totalsRowShown="0" headerRowDxfId="15" dataDxfId="14">
  <autoFilter ref="A1:N2" xr:uid="{E193CB58-A58E-4D17-949E-A18F0225A87B}"/>
  <sortState xmlns:xlrd2="http://schemas.microsoft.com/office/spreadsheetml/2017/richdata2" ref="A2:N2">
    <sortCondition descending="1" ref="A1:A2"/>
  </sortState>
  <tableColumns count="14">
    <tableColumn id="1" xr3:uid="{3BD6216C-617A-42B1-A743-CEAB5CC87B46}" name="Risk ID" dataDxfId="13"/>
    <tableColumn id="2" xr3:uid="{802B34FF-C29D-4F56-B695-5A11D0904A4F}" name="Risk Domain" dataDxfId="12"/>
    <tableColumn id="3" xr3:uid="{79F87848-22C3-48CD-9CAA-A74FAAAD0226}" name="Business Process" dataDxfId="11"/>
    <tableColumn id="4" xr3:uid="{9B5F29D9-CF9A-4143-ACF8-F7F70D754455}" name="Asset/System" dataDxfId="10"/>
    <tableColumn id="5" xr3:uid="{50933C2C-6B28-4B51-8FAC-737D2FE6B42A}" name="Risk Statement" dataDxfId="9"/>
    <tableColumn id="6" xr3:uid="{34D409B7-118B-430D-9F22-1FD9C623A7F7}" name="Threat/Cause" dataDxfId="8"/>
    <tableColumn id="7" xr3:uid="{46299F56-0436-4F92-A202-EEEF580FF5DD}" name="Likelihood" dataDxfId="7"/>
    <tableColumn id="8" xr3:uid="{D1A6740C-8AA3-481C-885D-BDB1630F8DE2}" name="Impact" dataDxfId="6"/>
    <tableColumn id="9" xr3:uid="{623ABB07-62F7-4FB4-A1B1-F7417261C074}" name="Inherent Risk Score" dataDxfId="5"/>
    <tableColumn id="10" xr3:uid="{910D0D50-E400-497A-A76F-18752837000C}" name="Risk Rating" dataDxfId="4"/>
    <tableColumn id="11" xr3:uid="{2BFCA7C7-2AA2-413B-91B5-DE1A6D16AEFE}" name="Existing Controls" dataDxfId="3"/>
    <tableColumn id="12" xr3:uid="{73A0B9AC-B2B7-42C5-A375-73D0860711E9}" name="Control Gap" dataDxfId="2"/>
    <tableColumn id="13" xr3:uid="{78193122-FA06-4626-941A-FE90AFC9C84F}" name="Recommendation" dataDxfId="1"/>
    <tableColumn id="14" xr3:uid="{21F09478-6A6A-4501-8850-A0C5741C8416}" name="Risk Own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4"/>
  <sheetViews>
    <sheetView workbookViewId="0">
      <pane ySplit="1" topLeftCell="A3" activePane="bottomLeft" state="frozen"/>
      <selection pane="bottomLeft"/>
    </sheetView>
  </sheetViews>
  <sheetFormatPr defaultRowHeight="15"/>
  <cols>
    <col min="1" max="1" width="9.42578125" bestFit="1" customWidth="1"/>
    <col min="2" max="2" width="19.140625" customWidth="1"/>
    <col min="3" max="3" width="20.140625" customWidth="1"/>
    <col min="4" max="4" width="22.85546875" customWidth="1"/>
    <col min="5" max="5" width="56.140625" customWidth="1"/>
    <col min="6" max="6" width="27.5703125" customWidth="1"/>
    <col min="7" max="7" width="16" customWidth="1"/>
    <col min="8" max="8" width="15.85546875" customWidth="1"/>
    <col min="9" max="9" width="21.85546875" customWidth="1"/>
    <col min="10" max="10" width="18.28515625" customWidth="1"/>
    <col min="11" max="11" width="33.5703125" customWidth="1"/>
    <col min="12" max="12" width="28.85546875" customWidth="1"/>
    <col min="13" max="13" width="28.5703125" style="3" customWidth="1"/>
    <col min="14" max="14" width="16.5703125" customWidth="1"/>
  </cols>
  <sheetData>
    <row r="1" spans="1:14">
      <c r="A1" s="1" t="s">
        <v>0</v>
      </c>
      <c r="B1" s="1" t="s">
        <v>1</v>
      </c>
      <c r="C1" s="1" t="s">
        <v>2</v>
      </c>
      <c r="D1" s="1" t="s">
        <v>3</v>
      </c>
      <c r="E1" s="1" t="s">
        <v>4</v>
      </c>
      <c r="F1" s="1" t="s">
        <v>5</v>
      </c>
      <c r="G1" s="1" t="s">
        <v>6</v>
      </c>
      <c r="H1" s="1" t="s">
        <v>7</v>
      </c>
      <c r="I1" s="1" t="s">
        <v>8</v>
      </c>
      <c r="J1" s="1" t="s">
        <v>9</v>
      </c>
      <c r="K1" s="1" t="s">
        <v>10</v>
      </c>
      <c r="L1" s="1" t="s">
        <v>11</v>
      </c>
      <c r="M1" s="6" t="s">
        <v>12</v>
      </c>
      <c r="N1" s="1" t="s">
        <v>13</v>
      </c>
    </row>
    <row r="2" spans="1:14">
      <c r="A2" s="1"/>
      <c r="B2" s="1"/>
      <c r="C2" s="1"/>
      <c r="D2" s="1"/>
      <c r="E2" s="1"/>
      <c r="F2" s="1"/>
      <c r="G2" s="1"/>
      <c r="H2" s="1"/>
      <c r="I2" s="1"/>
      <c r="J2" s="1"/>
      <c r="K2" s="1"/>
      <c r="L2" s="1"/>
      <c r="M2" s="6"/>
      <c r="N2" s="1"/>
    </row>
    <row r="3" spans="1:14" ht="106.5">
      <c r="A3" s="2" t="s">
        <v>14</v>
      </c>
      <c r="B3" s="2" t="s">
        <v>15</v>
      </c>
      <c r="C3" s="2" t="s">
        <v>16</v>
      </c>
      <c r="D3" s="2" t="s">
        <v>17</v>
      </c>
      <c r="E3" s="5" t="s">
        <v>18</v>
      </c>
      <c r="F3" s="2" t="s">
        <v>19</v>
      </c>
      <c r="G3" s="4">
        <v>4</v>
      </c>
      <c r="H3" s="4">
        <v>5</v>
      </c>
      <c r="I3" s="4">
        <f>G3*H3</f>
        <v>20</v>
      </c>
      <c r="J3" s="4" t="str">
        <f>IF(I3&lt;=4,"Low",IF(I3&lt;=9,"Moderate",IF(I3&lt;=16,"High","Critical")))</f>
        <v>Critical</v>
      </c>
      <c r="K3" s="5" t="s">
        <v>20</v>
      </c>
      <c r="L3" s="5" t="s">
        <v>21</v>
      </c>
      <c r="M3" s="5" t="s">
        <v>22</v>
      </c>
      <c r="N3" s="5" t="s">
        <v>23</v>
      </c>
    </row>
    <row r="4" spans="1:14" ht="106.5">
      <c r="A4" s="3" t="s">
        <v>24</v>
      </c>
      <c r="B4" s="5" t="s">
        <v>25</v>
      </c>
      <c r="C4" s="5" t="s">
        <v>26</v>
      </c>
      <c r="D4" s="2" t="s">
        <v>27</v>
      </c>
      <c r="E4" s="2" t="s">
        <v>28</v>
      </c>
      <c r="F4" s="2" t="s">
        <v>29</v>
      </c>
      <c r="G4" s="4">
        <v>4</v>
      </c>
      <c r="H4" s="4">
        <v>5</v>
      </c>
      <c r="I4" s="4">
        <f>G4*H4</f>
        <v>20</v>
      </c>
      <c r="J4" s="4" t="str">
        <f>IF(I4&lt;=4,"Low",IF(I4&lt;=9,"Moderate",IF(I4&lt;=16,"High","Critical")))</f>
        <v>Critical</v>
      </c>
      <c r="K4" s="5" t="s">
        <v>30</v>
      </c>
      <c r="L4" s="2" t="s">
        <v>31</v>
      </c>
      <c r="M4" s="2" t="s">
        <v>32</v>
      </c>
      <c r="N4" s="2" t="s">
        <v>33</v>
      </c>
    </row>
    <row r="5" spans="1:14" ht="106.5">
      <c r="A5" s="8" t="s">
        <v>34</v>
      </c>
      <c r="B5" s="2" t="s">
        <v>15</v>
      </c>
      <c r="C5" s="2" t="s">
        <v>35</v>
      </c>
      <c r="D5" s="2" t="s">
        <v>36</v>
      </c>
      <c r="E5" s="5" t="s">
        <v>37</v>
      </c>
      <c r="F5" s="2" t="s">
        <v>38</v>
      </c>
      <c r="G5" s="4">
        <v>3</v>
      </c>
      <c r="H5" s="4">
        <v>5</v>
      </c>
      <c r="I5" s="4">
        <f>G5*H5</f>
        <v>15</v>
      </c>
      <c r="J5" s="4" t="str">
        <f>IF(I5&lt;=4,"Low",IF(I5&lt;=9,"Moderate",IF(I5&lt;=16,"High","Critical")))</f>
        <v>High</v>
      </c>
      <c r="K5" s="2" t="s">
        <v>39</v>
      </c>
      <c r="L5" s="7" t="s">
        <v>40</v>
      </c>
      <c r="M5" s="7" t="s">
        <v>41</v>
      </c>
      <c r="N5" s="2" t="s">
        <v>42</v>
      </c>
    </row>
    <row r="6" spans="1:14" ht="121.5">
      <c r="A6" s="2" t="s">
        <v>43</v>
      </c>
      <c r="B6" s="2" t="s">
        <v>44</v>
      </c>
      <c r="C6" s="2" t="s">
        <v>45</v>
      </c>
      <c r="D6" s="2" t="s">
        <v>46</v>
      </c>
      <c r="E6" s="2" t="s">
        <v>47</v>
      </c>
      <c r="F6" s="2" t="s">
        <v>48</v>
      </c>
      <c r="G6" s="4">
        <v>3</v>
      </c>
      <c r="H6" s="4">
        <v>4</v>
      </c>
      <c r="I6" s="4">
        <f>G6*H6</f>
        <v>12</v>
      </c>
      <c r="J6" s="4" t="str">
        <f>IF(I6&lt;=4,"Low",IF(I6&lt;=9,"Moderate",IF(I6&lt;=16,"High","Critical")))</f>
        <v>High</v>
      </c>
      <c r="K6" s="5" t="s">
        <v>49</v>
      </c>
      <c r="L6" s="2" t="s">
        <v>50</v>
      </c>
      <c r="M6" s="7" t="s">
        <v>51</v>
      </c>
      <c r="N6" s="2" t="s">
        <v>52</v>
      </c>
    </row>
    <row r="7" spans="1:14" ht="152.25">
      <c r="A7" s="8" t="s">
        <v>53</v>
      </c>
      <c r="B7" s="2" t="s">
        <v>54</v>
      </c>
      <c r="C7" s="2" t="s">
        <v>55</v>
      </c>
      <c r="D7" s="2" t="s">
        <v>56</v>
      </c>
      <c r="E7" s="2" t="s">
        <v>57</v>
      </c>
      <c r="F7" s="2" t="s">
        <v>58</v>
      </c>
      <c r="G7" s="4">
        <v>3</v>
      </c>
      <c r="H7" s="4">
        <v>5</v>
      </c>
      <c r="I7" s="4">
        <f>G7*H7</f>
        <v>15</v>
      </c>
      <c r="J7" s="4" t="str">
        <f>IF(I7&lt;=4,"Low",IF(I7&lt;=9,"Moderate",IF(I7&lt;=16,"High","Critical")))</f>
        <v>High</v>
      </c>
      <c r="K7" s="2" t="s">
        <v>59</v>
      </c>
      <c r="L7" s="2" t="s">
        <v>60</v>
      </c>
      <c r="M7" s="2" t="s">
        <v>61</v>
      </c>
      <c r="N7" s="2" t="s">
        <v>62</v>
      </c>
    </row>
    <row r="8" spans="1:14" ht="121.5">
      <c r="A8" s="8" t="s">
        <v>63</v>
      </c>
      <c r="B8" s="2" t="s">
        <v>64</v>
      </c>
      <c r="C8" s="2" t="s">
        <v>65</v>
      </c>
      <c r="D8" s="2" t="s">
        <v>66</v>
      </c>
      <c r="E8" s="2" t="s">
        <v>67</v>
      </c>
      <c r="F8" s="5" t="s">
        <v>68</v>
      </c>
      <c r="G8" s="4">
        <v>3</v>
      </c>
      <c r="H8" s="4">
        <v>5</v>
      </c>
      <c r="I8" s="4">
        <f>G8*H8</f>
        <v>15</v>
      </c>
      <c r="J8" s="4" t="str">
        <f>IF(I8&lt;=4,"Low",IF(I8&lt;=9,"Moderate",IF(I8&lt;=16,"High","Critical")))</f>
        <v>High</v>
      </c>
      <c r="K8" s="5" t="s">
        <v>69</v>
      </c>
      <c r="L8" s="2" t="s">
        <v>70</v>
      </c>
      <c r="M8" s="9" t="s">
        <v>71</v>
      </c>
      <c r="N8" s="2" t="s">
        <v>72</v>
      </c>
    </row>
    <row r="9" spans="1:14" ht="106.5">
      <c r="A9" s="8" t="s">
        <v>73</v>
      </c>
      <c r="B9" s="5" t="s">
        <v>74</v>
      </c>
      <c r="C9" s="5" t="s">
        <v>75</v>
      </c>
      <c r="D9" s="5" t="s">
        <v>76</v>
      </c>
      <c r="E9" s="5" t="s">
        <v>77</v>
      </c>
      <c r="F9" s="5" t="s">
        <v>78</v>
      </c>
      <c r="G9" s="4">
        <v>3</v>
      </c>
      <c r="H9" s="4">
        <v>5</v>
      </c>
      <c r="I9" s="4">
        <f>G9*H9</f>
        <v>15</v>
      </c>
      <c r="J9" s="4" t="str">
        <f>IF(I9&lt;=4,"Low",IF(I9&lt;=9,"Moderate",IF(I9&lt;=16,"High","Critical")))</f>
        <v>High</v>
      </c>
      <c r="K9" s="2" t="s">
        <v>79</v>
      </c>
      <c r="L9" s="2" t="s">
        <v>80</v>
      </c>
      <c r="M9" s="7" t="s">
        <v>81</v>
      </c>
      <c r="N9" s="2" t="s">
        <v>82</v>
      </c>
    </row>
    <row r="10" spans="1:14" ht="137.25">
      <c r="A10" s="8" t="s">
        <v>83</v>
      </c>
      <c r="B10" s="8" t="s">
        <v>84</v>
      </c>
      <c r="C10" s="2" t="s">
        <v>85</v>
      </c>
      <c r="D10" s="2" t="s">
        <v>86</v>
      </c>
      <c r="E10" s="2" t="s">
        <v>87</v>
      </c>
      <c r="F10" s="2" t="s">
        <v>88</v>
      </c>
      <c r="G10" s="4">
        <v>3</v>
      </c>
      <c r="H10" s="4">
        <v>5</v>
      </c>
      <c r="I10" s="4">
        <f>G10*H10</f>
        <v>15</v>
      </c>
      <c r="J10" s="4" t="str">
        <f>IF(I10&lt;=4,"Low",IF(I10&lt;=9,"Moderate",IF(I10&lt;=16,"High","Critical")))</f>
        <v>High</v>
      </c>
      <c r="K10" s="2" t="s">
        <v>89</v>
      </c>
      <c r="L10" s="2" t="s">
        <v>90</v>
      </c>
      <c r="M10" s="2" t="s">
        <v>91</v>
      </c>
      <c r="N10" s="5" t="s">
        <v>92</v>
      </c>
    </row>
    <row r="11" spans="1:14" ht="152.25">
      <c r="A11" s="2" t="s">
        <v>93</v>
      </c>
      <c r="B11" s="2" t="s">
        <v>94</v>
      </c>
      <c r="C11" s="2" t="s">
        <v>95</v>
      </c>
      <c r="D11" s="2" t="s">
        <v>96</v>
      </c>
      <c r="E11" s="2" t="s">
        <v>97</v>
      </c>
      <c r="F11" s="2" t="s">
        <v>98</v>
      </c>
      <c r="G11" s="4">
        <v>3</v>
      </c>
      <c r="H11" s="4">
        <v>5</v>
      </c>
      <c r="I11" s="4">
        <f>G11*H11</f>
        <v>15</v>
      </c>
      <c r="J11" s="4" t="str">
        <f>IF(I11&lt;=4,"Low",IF(I11&lt;=9,"Moderate",IF(I11&lt;=16,"High","Critical")))</f>
        <v>High</v>
      </c>
      <c r="K11" s="2" t="s">
        <v>99</v>
      </c>
      <c r="L11" s="2" t="s">
        <v>100</v>
      </c>
      <c r="M11" s="7" t="s">
        <v>101</v>
      </c>
      <c r="N11" s="2" t="s">
        <v>102</v>
      </c>
    </row>
    <row r="12" spans="1:14" ht="106.5">
      <c r="A12" s="8" t="s">
        <v>103</v>
      </c>
      <c r="B12" s="2" t="s">
        <v>54</v>
      </c>
      <c r="C12" s="2" t="s">
        <v>104</v>
      </c>
      <c r="D12" s="2" t="s">
        <v>105</v>
      </c>
      <c r="E12" s="2" t="s">
        <v>106</v>
      </c>
      <c r="F12" s="2" t="s">
        <v>107</v>
      </c>
      <c r="G12" s="4">
        <v>2</v>
      </c>
      <c r="H12" s="4">
        <v>4</v>
      </c>
      <c r="I12" s="4">
        <f>G12*H12</f>
        <v>8</v>
      </c>
      <c r="J12" s="4" t="str">
        <f>IF(I12&lt;=4,"Low",IF(I12&lt;=9,"Moderate",IF(I12&lt;=16,"High","Critical")))</f>
        <v>Moderate</v>
      </c>
      <c r="K12" s="2" t="s">
        <v>108</v>
      </c>
      <c r="L12" s="2" t="s">
        <v>109</v>
      </c>
      <c r="M12" s="2" t="s">
        <v>110</v>
      </c>
      <c r="N12" s="2" t="s">
        <v>111</v>
      </c>
    </row>
    <row r="13" spans="1:14" ht="121.5">
      <c r="A13" s="8" t="s">
        <v>112</v>
      </c>
      <c r="B13" s="5" t="s">
        <v>113</v>
      </c>
      <c r="C13" s="2" t="s">
        <v>114</v>
      </c>
      <c r="D13" s="2" t="s">
        <v>115</v>
      </c>
      <c r="E13" s="2" t="s">
        <v>116</v>
      </c>
      <c r="F13" s="2" t="s">
        <v>117</v>
      </c>
      <c r="G13" s="4">
        <v>3</v>
      </c>
      <c r="H13" s="4">
        <v>4</v>
      </c>
      <c r="I13" s="4">
        <f>G13*H13</f>
        <v>12</v>
      </c>
      <c r="J13" s="4" t="str">
        <f>IF(I13&lt;=4,"Low",IF(I13&lt;=9,"Moderate",IF(I13&lt;=16,"High","Critical")))</f>
        <v>High</v>
      </c>
      <c r="K13" s="2" t="s">
        <v>118</v>
      </c>
      <c r="L13" s="7" t="s">
        <v>119</v>
      </c>
      <c r="M13" s="2" t="s">
        <v>120</v>
      </c>
      <c r="N13" s="2" t="s">
        <v>120</v>
      </c>
    </row>
    <row r="14" spans="1:14" ht="91.5">
      <c r="A14" s="3" t="s">
        <v>121</v>
      </c>
      <c r="B14" s="5" t="s">
        <v>122</v>
      </c>
      <c r="C14" s="5" t="s">
        <v>123</v>
      </c>
      <c r="D14" s="5" t="s">
        <v>124</v>
      </c>
      <c r="E14" s="5" t="s">
        <v>125</v>
      </c>
      <c r="F14" s="5" t="s">
        <v>126</v>
      </c>
      <c r="G14" s="4">
        <v>2</v>
      </c>
      <c r="H14" s="4">
        <v>2</v>
      </c>
      <c r="I14" s="4">
        <f>G14*H14</f>
        <v>4</v>
      </c>
      <c r="J14" s="4" t="str">
        <f>IF(I14&lt;=4,"Low",IF(I14&lt;=9,"Moderate",IF(I14&lt;=16,"High","Critical")))</f>
        <v>Low</v>
      </c>
      <c r="K14" s="7" t="s">
        <v>127</v>
      </c>
      <c r="L14" s="7" t="s">
        <v>128</v>
      </c>
      <c r="M14" s="7" t="s">
        <v>129</v>
      </c>
      <c r="N14" s="5" t="s">
        <v>130</v>
      </c>
    </row>
  </sheetData>
  <autoFilter ref="A3:N14" xr:uid="{00000000-0001-0000-0000-000000000000}"/>
  <sortState xmlns:xlrd2="http://schemas.microsoft.com/office/spreadsheetml/2017/richdata2" ref="A3:N8">
    <sortCondition descending="1" ref="I3:I8"/>
  </sortState>
  <conditionalFormatting sqref="J3:J21">
    <cfRule type="containsText" dxfId="23" priority="9" operator="containsText" text="Critical">
      <formula>NOT(ISERROR(SEARCH("Critical",J3)))</formula>
    </cfRule>
  </conditionalFormatting>
  <conditionalFormatting sqref="J3:J21">
    <cfRule type="containsText" dxfId="22" priority="8" operator="containsText" text="High">
      <formula>NOT(ISERROR(SEARCH("High",J3)))</formula>
    </cfRule>
  </conditionalFormatting>
  <conditionalFormatting sqref="J3:J21">
    <cfRule type="containsText" dxfId="21" priority="7" operator="containsText" text="Moderate">
      <formula>NOT(ISERROR(SEARCH("Moderate",J3)))</formula>
    </cfRule>
  </conditionalFormatting>
  <conditionalFormatting sqref="J3:J21">
    <cfRule type="containsText" dxfId="20" priority="6" operator="containsText" text="Low">
      <formula>NOT(ISERROR(SEARCH("Low",J3)))</formula>
    </cfRule>
  </conditionalFormatting>
  <conditionalFormatting sqref="I21">
    <cfRule type="colorScale" priority="5">
      <colorScale>
        <cfvo type="min"/>
        <cfvo type="percentile" val="50"/>
        <cfvo type="max"/>
        <color rgb="FF63BE7B"/>
        <color rgb="FFFFEB84"/>
        <color rgb="FFF8696B"/>
      </colorScale>
    </cfRule>
  </conditionalFormatting>
  <conditionalFormatting sqref="I3:I21">
    <cfRule type="cellIs" dxfId="19" priority="4" operator="between">
      <formula>1</formula>
      <formula>4</formula>
    </cfRule>
  </conditionalFormatting>
  <conditionalFormatting sqref="I3:I21">
    <cfRule type="cellIs" dxfId="18" priority="3" operator="between">
      <formula>5</formula>
      <formula>9</formula>
    </cfRule>
  </conditionalFormatting>
  <conditionalFormatting sqref="I3:I21">
    <cfRule type="cellIs" dxfId="17" priority="2" operator="between">
      <formula>10</formula>
      <formula>16</formula>
    </cfRule>
  </conditionalFormatting>
  <conditionalFormatting sqref="I3:I21">
    <cfRule type="cellIs" dxfId="16" priority="1" operator="between">
      <formula>17</formula>
      <formula>25</formula>
    </cfRule>
  </conditionalFormatting>
  <dataValidations count="2">
    <dataValidation type="list" allowBlank="1" showInputMessage="1" showErrorMessage="1" sqref="G3:H21" xr:uid="{75AE1CF1-391F-4CCC-A3EF-7FC05F002A27}">
      <formula1>"1,2,3,4,5"</formula1>
    </dataValidation>
    <dataValidation type="list" allowBlank="1" showInputMessage="1" showErrorMessage="1" sqref="B3:B20" xr:uid="{237C64AE-5113-4785-BE1F-BED487A6969A}">
      <formula1>RiskDomains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F118-19EB-46A1-9E14-415AFE5CF7C3}">
  <dimension ref="A1:M13"/>
  <sheetViews>
    <sheetView tabSelected="1" topLeftCell="J3" workbookViewId="0">
      <selection activeCell="L6" sqref="L6"/>
    </sheetView>
  </sheetViews>
  <sheetFormatPr defaultRowHeight="15"/>
  <cols>
    <col min="1" max="1" width="12.42578125" customWidth="1"/>
    <col min="2" max="2" width="7" customWidth="1"/>
    <col min="3" max="3" width="27.28515625" customWidth="1"/>
    <col min="4" max="4" width="31" customWidth="1"/>
    <col min="5" max="5" width="42.5703125" customWidth="1"/>
    <col min="6" max="6" width="14.42578125" customWidth="1"/>
    <col min="7" max="7" width="15.140625" customWidth="1"/>
    <col min="8" max="8" width="12.42578125" customWidth="1"/>
    <col min="9" max="9" width="17.7109375" customWidth="1"/>
    <col min="10" max="10" width="45" customWidth="1"/>
    <col min="11" max="11" width="28.7109375" customWidth="1"/>
    <col min="12" max="12" width="15.28515625" customWidth="1"/>
    <col min="13" max="13" width="53.85546875" customWidth="1"/>
  </cols>
  <sheetData>
    <row r="1" spans="1:13" ht="30.75">
      <c r="A1" s="6" t="s">
        <v>131</v>
      </c>
      <c r="B1" s="6" t="s">
        <v>0</v>
      </c>
      <c r="C1" s="6" t="s">
        <v>1</v>
      </c>
      <c r="D1" s="6" t="s">
        <v>132</v>
      </c>
      <c r="E1" s="6" t="s">
        <v>133</v>
      </c>
      <c r="F1" s="6" t="s">
        <v>134</v>
      </c>
      <c r="G1" s="6" t="s">
        <v>135</v>
      </c>
      <c r="H1" s="6" t="s">
        <v>136</v>
      </c>
      <c r="I1" s="6" t="s">
        <v>137</v>
      </c>
      <c r="J1" s="6" t="s">
        <v>138</v>
      </c>
      <c r="K1" s="6" t="s">
        <v>139</v>
      </c>
      <c r="L1" s="6" t="s">
        <v>140</v>
      </c>
      <c r="M1" s="6" t="s">
        <v>11</v>
      </c>
    </row>
    <row r="2" spans="1:13" ht="60.75">
      <c r="A2" s="8" t="s">
        <v>141</v>
      </c>
      <c r="B2" s="8" t="s">
        <v>14</v>
      </c>
      <c r="C2" s="2" t="str">
        <f>_xlfn.XLOOKUP(B2,'Risk Register'!$A:$A,'Risk Register'!$B:$B,"Not Found")</f>
        <v>Identity &amp; Access Management</v>
      </c>
      <c r="D2" s="2" t="s">
        <v>142</v>
      </c>
      <c r="E2" s="2" t="s">
        <v>143</v>
      </c>
      <c r="F2" s="11" t="s">
        <v>144</v>
      </c>
      <c r="G2" s="12" t="s">
        <v>145</v>
      </c>
      <c r="H2" s="12" t="s">
        <v>146</v>
      </c>
      <c r="I2" s="2" t="s">
        <v>147</v>
      </c>
      <c r="J2" s="5" t="s">
        <v>148</v>
      </c>
      <c r="K2" s="2" t="s">
        <v>149</v>
      </c>
      <c r="L2" s="11" t="s">
        <v>150</v>
      </c>
      <c r="M2" s="5" t="str">
        <f>_xlfn.XLOOKUP(B2,'Risk Register'!$A:$A,'Risk Register'!$L:$L,"Not Found")</f>
        <v>Step-up authentication is not consistently required for high-risk account changes such as adding a new bank account or modifying customer contact information.</v>
      </c>
    </row>
    <row r="3" spans="1:13" ht="76.5">
      <c r="A3" s="8" t="s">
        <v>151</v>
      </c>
      <c r="B3" s="8" t="s">
        <v>24</v>
      </c>
      <c r="C3" s="2" t="str">
        <f>_xlfn.XLOOKUP(B3,'Risk Register'!$A:$A,'Risk Register'!$B:$B,"Not Found")</f>
        <v>Transaction &amp; Fraud Controls</v>
      </c>
      <c r="D3" s="5" t="s">
        <v>152</v>
      </c>
      <c r="E3" s="5" t="s">
        <v>153</v>
      </c>
      <c r="F3" s="11" t="s">
        <v>144</v>
      </c>
      <c r="G3" s="12" t="s">
        <v>145</v>
      </c>
      <c r="H3" s="12" t="s">
        <v>154</v>
      </c>
      <c r="I3" s="2" t="s">
        <v>155</v>
      </c>
      <c r="J3" s="5" t="s">
        <v>156</v>
      </c>
      <c r="K3" s="2" t="s">
        <v>157</v>
      </c>
      <c r="L3" s="11" t="s">
        <v>150</v>
      </c>
      <c r="M3" s="5" t="str">
        <f>_xlfn.XLOOKUP(B3,'Risk Register'!$A:$A,'Risk Register'!$L:$L,"Not Found")</f>
        <v>Step-up authentication is not required before adding a new external bank account, and withdrawals may be initiated shortly after the account change.</v>
      </c>
    </row>
    <row r="4" spans="1:13" ht="76.5">
      <c r="A4" s="8" t="s">
        <v>158</v>
      </c>
      <c r="B4" s="8" t="s">
        <v>34</v>
      </c>
      <c r="C4" s="2" t="str">
        <f>_xlfn.XLOOKUP(B4,'Risk Register'!$A:$A,'Risk Register'!$B:$B,"Not Found")</f>
        <v>Identity &amp; Access Management</v>
      </c>
      <c r="D4" s="5" t="s">
        <v>159</v>
      </c>
      <c r="E4" s="5" t="s">
        <v>160</v>
      </c>
      <c r="F4" s="11" t="s">
        <v>161</v>
      </c>
      <c r="G4" s="12" t="s">
        <v>162</v>
      </c>
      <c r="H4" s="12" t="s">
        <v>163</v>
      </c>
      <c r="I4" s="2" t="s">
        <v>164</v>
      </c>
      <c r="J4" s="5" t="s">
        <v>165</v>
      </c>
      <c r="K4" s="2" t="s">
        <v>166</v>
      </c>
      <c r="L4" s="11" t="s">
        <v>150</v>
      </c>
      <c r="M4" s="5" t="str">
        <f>_xlfn.XLOOKUP(B4,'Risk Register'!$A:$A,'Risk Register'!$L:$L,"Not Found")</f>
        <v>Periodic access reviews are not performed consistently, increasing the risk that employees who change roles or leave the organization may retain unnecessary or privileged access.</v>
      </c>
    </row>
    <row r="5" spans="1:13" ht="76.5">
      <c r="A5" s="8" t="s">
        <v>167</v>
      </c>
      <c r="B5" s="8" t="s">
        <v>43</v>
      </c>
      <c r="C5" s="2" t="str">
        <f>_xlfn.XLOOKUP(B5,'Risk Register'!$A:$A,'Risk Register'!$B:$B,"Not Found")</f>
        <v>Logging &amp; Monitoring</v>
      </c>
      <c r="D5" s="5" t="s">
        <v>168</v>
      </c>
      <c r="E5" s="5" t="s">
        <v>169</v>
      </c>
      <c r="F5" s="11" t="s">
        <v>161</v>
      </c>
      <c r="G5" s="12" t="s">
        <v>162</v>
      </c>
      <c r="H5" s="12" t="s">
        <v>170</v>
      </c>
      <c r="I5" s="2" t="s">
        <v>171</v>
      </c>
      <c r="J5" s="5" t="s">
        <v>172</v>
      </c>
      <c r="K5" s="2" t="s">
        <v>173</v>
      </c>
      <c r="L5" s="11" t="s">
        <v>150</v>
      </c>
      <c r="M5" s="5" t="str">
        <f>_xlfn.XLOOKUP(B5,'Risk Register'!$A:$A,'Risk Register'!$L:$L,"Not Found")</f>
        <v>Logging coverage is inconsistent across critical systems, and alerts for high-risk administrative and customer-account activity are not reviewed within a defined timeframe.</v>
      </c>
    </row>
    <row r="6" spans="1:13" ht="76.5">
      <c r="A6" s="8" t="s">
        <v>174</v>
      </c>
      <c r="B6" s="8" t="s">
        <v>53</v>
      </c>
      <c r="C6" s="2" t="str">
        <f>_xlfn.XLOOKUP(B6,'Risk Register'!$A:$A,'Risk Register'!$B:$B,"Not Found")</f>
        <v>Trade Processing &amp; Operations</v>
      </c>
      <c r="D6" s="5" t="s">
        <v>175</v>
      </c>
      <c r="E6" s="5" t="s">
        <v>176</v>
      </c>
      <c r="F6" s="11" t="s">
        <v>144</v>
      </c>
      <c r="G6" s="12" t="s">
        <v>145</v>
      </c>
      <c r="H6" s="12" t="s">
        <v>177</v>
      </c>
      <c r="I6" s="2" t="s">
        <v>178</v>
      </c>
      <c r="J6" s="5" t="s">
        <v>179</v>
      </c>
      <c r="K6" s="2" t="s">
        <v>180</v>
      </c>
      <c r="L6" s="11" t="s">
        <v>150</v>
      </c>
      <c r="M6" s="5" t="str">
        <f>_xlfn.XLOOKUP(B6,'Risk Register'!$A:$A,'Risk Register'!$L:$L,"Not Found")</f>
        <v>Trade execution records are not reconciled to internal order records in near real time, increasing the risk that failed, duplicated, or incorrectly recorded trades may not be identified promptly.</v>
      </c>
    </row>
    <row r="7" spans="1:13" ht="76.5">
      <c r="A7" s="8" t="s">
        <v>181</v>
      </c>
      <c r="B7" s="8" t="s">
        <v>63</v>
      </c>
      <c r="C7" s="2" t="str">
        <f>_xlfn.XLOOKUP(B7,'Risk Register'!$A:$A,'Risk Register'!$B:$B,"Not Found")</f>
        <v>Data Protection &amp; Privacy</v>
      </c>
      <c r="D7" s="5" t="s">
        <v>182</v>
      </c>
      <c r="E7" s="5" t="s">
        <v>183</v>
      </c>
      <c r="F7" s="11" t="s">
        <v>144</v>
      </c>
      <c r="G7" s="12" t="s">
        <v>145</v>
      </c>
      <c r="H7" s="12" t="s">
        <v>184</v>
      </c>
      <c r="I7" s="2" t="s">
        <v>185</v>
      </c>
      <c r="J7" s="5" t="s">
        <v>186</v>
      </c>
      <c r="K7" s="2" t="s">
        <v>187</v>
      </c>
      <c r="L7" s="11" t="s">
        <v>150</v>
      </c>
      <c r="M7" s="5" t="str">
        <f>_xlfn.XLOOKUP(B7,'Risk Register'!$A:$A,'Risk Register'!$L:$L,"Not Found")</f>
        <v>Customer-support personnel can view certain sensitive customer information in full even when the information is not required to perform routine support responsibilities.</v>
      </c>
    </row>
    <row r="8" spans="1:13" ht="60.75">
      <c r="A8" s="8" t="s">
        <v>188</v>
      </c>
      <c r="B8" s="8" t="s">
        <v>73</v>
      </c>
      <c r="C8" s="2" t="str">
        <f>_xlfn.XLOOKUP(B8,'Risk Register'!$A:$A,'Risk Register'!$B:$B,"Not Found")</f>
        <v>Change Management</v>
      </c>
      <c r="D8" s="5" t="s">
        <v>189</v>
      </c>
      <c r="E8" s="5" t="s">
        <v>190</v>
      </c>
      <c r="F8" s="11" t="s">
        <v>144</v>
      </c>
      <c r="G8" s="12" t="s">
        <v>162</v>
      </c>
      <c r="H8" s="12" t="s">
        <v>154</v>
      </c>
      <c r="I8" s="2" t="s">
        <v>191</v>
      </c>
      <c r="J8" s="5" t="s">
        <v>192</v>
      </c>
      <c r="K8" s="2" t="s">
        <v>193</v>
      </c>
      <c r="L8" s="11" t="s">
        <v>150</v>
      </c>
      <c r="M8" s="5" t="str">
        <f>_xlfn.XLOOKUP(B8,'Risk Register'!$A:$A,'Risk Register'!$L:$L,"Not Found")</f>
        <v>Emergency production changes may be implemented before independent approval and are not consistently subjected to documented post-implementation review.</v>
      </c>
    </row>
    <row r="9" spans="1:13" ht="76.5">
      <c r="A9" s="8" t="s">
        <v>194</v>
      </c>
      <c r="B9" s="8" t="s">
        <v>83</v>
      </c>
      <c r="C9" s="2" t="str">
        <f>_xlfn.XLOOKUP(B9,'Risk Register'!$A:$A,'Risk Register'!$B:$B,"Not Found")</f>
        <v>Third-Party Risk</v>
      </c>
      <c r="D9" s="5" t="s">
        <v>195</v>
      </c>
      <c r="E9" s="5" t="s">
        <v>196</v>
      </c>
      <c r="F9" s="11" t="s">
        <v>144</v>
      </c>
      <c r="G9" s="12" t="s">
        <v>197</v>
      </c>
      <c r="H9" s="12" t="s">
        <v>198</v>
      </c>
      <c r="I9" s="2" t="s">
        <v>199</v>
      </c>
      <c r="J9" s="5" t="s">
        <v>200</v>
      </c>
      <c r="K9" s="2" t="s">
        <v>201</v>
      </c>
      <c r="L9" s="11" t="s">
        <v>150</v>
      </c>
      <c r="M9" s="5" t="str">
        <f>_xlfn.XLOOKUP(B9,'Risk Register'!$A:$A,'Risk Register'!$L:$L,"Not Found")</f>
        <v>Critical vendors are not consistently classified by risk level, and periodic reassessments are not completed for all providers that support sensitive data or critical brokerage operations.</v>
      </c>
    </row>
    <row r="10" spans="1:13" ht="76.5">
      <c r="A10" s="8" t="s">
        <v>202</v>
      </c>
      <c r="B10" s="8" t="s">
        <v>93</v>
      </c>
      <c r="C10" s="2" t="str">
        <f>_xlfn.XLOOKUP(B10,'Risk Register'!$A:$A,'Risk Register'!$B:$B,"Not Found")</f>
        <v>Business Continuity &amp; Resilience</v>
      </c>
      <c r="D10" s="5" t="s">
        <v>203</v>
      </c>
      <c r="E10" s="5" t="s">
        <v>204</v>
      </c>
      <c r="F10" s="11" t="s">
        <v>205</v>
      </c>
      <c r="G10" s="12" t="s">
        <v>162</v>
      </c>
      <c r="H10" s="12" t="s">
        <v>206</v>
      </c>
      <c r="I10" s="2" t="s">
        <v>207</v>
      </c>
      <c r="J10" s="5" t="s">
        <v>208</v>
      </c>
      <c r="K10" s="2" t="s">
        <v>209</v>
      </c>
      <c r="L10" s="11" t="s">
        <v>150</v>
      </c>
      <c r="M10" s="5" t="str">
        <f>_xlfn.XLOOKUP(B10,'Risk Register'!$A:$A,'Risk Register'!$L:$L,"Not Found")</f>
        <v>Disaster-recovery testing is performed inconsistently and does not fully validate the recovery of critical brokerage processes, customer data, and dependencies on third-party service providers.</v>
      </c>
    </row>
    <row r="11" spans="1:13" ht="76.5">
      <c r="A11" s="8" t="s">
        <v>210</v>
      </c>
      <c r="B11" s="8" t="s">
        <v>103</v>
      </c>
      <c r="C11" s="2" t="str">
        <f>_xlfn.XLOOKUP(B11,'Risk Register'!$A:$A,'Risk Register'!$B:$B,"Not Found")</f>
        <v>Trade Processing &amp; Operations</v>
      </c>
      <c r="D11" s="5" t="s">
        <v>211</v>
      </c>
      <c r="E11" s="5" t="s">
        <v>212</v>
      </c>
      <c r="F11" s="11" t="s">
        <v>161</v>
      </c>
      <c r="G11" s="12" t="s">
        <v>162</v>
      </c>
      <c r="H11" s="12" t="s">
        <v>213</v>
      </c>
      <c r="I11" s="2" t="s">
        <v>111</v>
      </c>
      <c r="J11" s="5" t="s">
        <v>214</v>
      </c>
      <c r="K11" s="2" t="s">
        <v>215</v>
      </c>
      <c r="L11" s="11" t="s">
        <v>150</v>
      </c>
      <c r="M11" s="5" t="str">
        <f>_xlfn.XLOOKUP(B11,'Risk Register'!$A:$A,'Risk Register'!$L:$L,"Not Found")</f>
        <v>Certain reconciliation exceptions may remain unresolved beyond established review periods, and escalation requirements for aging exceptions are not consistently documented.</v>
      </c>
    </row>
    <row r="12" spans="1:13" ht="91.5">
      <c r="A12" s="8" t="s">
        <v>216</v>
      </c>
      <c r="B12" s="8" t="s">
        <v>112</v>
      </c>
      <c r="C12" s="2" t="str">
        <f>_xlfn.XLOOKUP(B12,'Risk Register'!$A:$A,'Risk Register'!$B:$B,"Not Found")</f>
        <v>Vulnerability &amp; Patch Management</v>
      </c>
      <c r="D12" s="5" t="s">
        <v>217</v>
      </c>
      <c r="E12" s="5" t="s">
        <v>218</v>
      </c>
      <c r="F12" s="11" t="s">
        <v>161</v>
      </c>
      <c r="G12" s="12" t="s">
        <v>145</v>
      </c>
      <c r="H12" s="12" t="s">
        <v>219</v>
      </c>
      <c r="I12" s="2" t="s">
        <v>120</v>
      </c>
      <c r="J12" s="5" t="s">
        <v>220</v>
      </c>
      <c r="K12" s="2" t="s">
        <v>221</v>
      </c>
      <c r="L12" s="11" t="s">
        <v>150</v>
      </c>
      <c r="M12" s="5" t="str">
        <f>_xlfn.XLOOKUP(B12,'Risk Register'!$A:$A,'Risk Register'!$L:$L,"Not Found")</f>
        <v>Establish formal escalation procedures for overdue high-risk vulnerabilities, require documented remediation or approved risk acceptance, and provide management with periodic reporting on outstanding vulnerabilities.</v>
      </c>
    </row>
    <row r="13" spans="1:13" ht="76.5">
      <c r="A13" s="8" t="s">
        <v>222</v>
      </c>
      <c r="B13" s="8" t="s">
        <v>121</v>
      </c>
      <c r="C13" s="2" t="str">
        <f>_xlfn.XLOOKUP(B13,'Risk Register'!$A:$A,'Risk Register'!$B:$B,"Not Found")</f>
        <v>Market Data &amp; Customer Experience</v>
      </c>
      <c r="D13" s="5" t="s">
        <v>223</v>
      </c>
      <c r="E13" s="5" t="s">
        <v>224</v>
      </c>
      <c r="F13" s="11" t="s">
        <v>161</v>
      </c>
      <c r="G13" s="12" t="s">
        <v>145</v>
      </c>
      <c r="H13" s="12" t="s">
        <v>184</v>
      </c>
      <c r="I13" s="2" t="s">
        <v>130</v>
      </c>
      <c r="J13" s="5" t="s">
        <v>225</v>
      </c>
      <c r="K13" s="2" t="s">
        <v>226</v>
      </c>
      <c r="L13" s="11" t="s">
        <v>150</v>
      </c>
      <c r="M13" s="5" t="str">
        <f>_xlfn.XLOOKUP(B13,'Risk Register'!$A:$A,'Risk Register'!$L:$L,"Not Found")</f>
        <v>Customer-facing applications do not consistently display a clear warning when market-data updates are temporarily delayed.</v>
      </c>
    </row>
  </sheetData>
  <dataValidations count="3">
    <dataValidation type="list" allowBlank="1" showInputMessage="1" showErrorMessage="1" sqref="F2:F13" xr:uid="{90AC2CCC-13CD-4988-AF5A-E0F02A3D525E}">
      <formula1>"Preventative,Detective,Corrective"</formula1>
    </dataValidation>
    <dataValidation type="list" allowBlank="1" showInputMessage="1" showErrorMessage="1" sqref="G2:G13" xr:uid="{19076CE1-770F-462E-90DD-93953CF1812F}">
      <formula1>"Automated,Manual,IT-Dependent Manual"</formula1>
    </dataValidation>
    <dataValidation type="list" allowBlank="1" showInputMessage="1" showErrorMessage="1" sqref="L2:L13" xr:uid="{1630417C-2E3F-4DB9-B56D-CB6CBD9F6917}">
      <formula1>"Effective,Partially Effective,Ineffective"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5EBF-5F33-4BBA-A6FA-21C4D614976B}">
  <dimension ref="A1:X45"/>
  <sheetViews>
    <sheetView topLeftCell="S1" workbookViewId="0">
      <selection activeCell="X5" sqref="X5"/>
    </sheetView>
  </sheetViews>
  <sheetFormatPr defaultRowHeight="15"/>
  <cols>
    <col min="1" max="1" width="19.28515625" customWidth="1"/>
    <col min="3" max="3" width="17" customWidth="1"/>
    <col min="6" max="6" width="10" customWidth="1"/>
    <col min="10" max="10" width="9.7109375" customWidth="1"/>
    <col min="11" max="11" width="14" customWidth="1"/>
    <col min="12" max="12" width="19" customWidth="1"/>
    <col min="13" max="13" width="28.42578125" customWidth="1"/>
    <col min="14" max="14" width="12.7109375" customWidth="1"/>
    <col min="15" max="15" width="15.28515625" customWidth="1"/>
    <col min="16" max="16" width="21.42578125" customWidth="1"/>
    <col min="17" max="17" width="27.42578125" customWidth="1"/>
    <col min="19" max="19" width="20" customWidth="1"/>
    <col min="20" max="20" width="29.5703125" customWidth="1"/>
    <col min="23" max="23" width="41.7109375" customWidth="1"/>
    <col min="24" max="24" width="47.42578125" customWidth="1"/>
  </cols>
  <sheetData>
    <row r="1" spans="1:24" ht="45.75">
      <c r="A1" s="6" t="s">
        <v>227</v>
      </c>
      <c r="B1" s="6"/>
      <c r="C1" s="6" t="s">
        <v>228</v>
      </c>
      <c r="D1" s="6" t="s">
        <v>229</v>
      </c>
      <c r="E1" s="6"/>
      <c r="F1" s="6" t="s">
        <v>9</v>
      </c>
      <c r="G1" s="6" t="s">
        <v>230</v>
      </c>
      <c r="H1" s="6" t="s">
        <v>9</v>
      </c>
      <c r="I1" s="6" t="s">
        <v>231</v>
      </c>
      <c r="J1" s="6"/>
      <c r="K1" s="6"/>
      <c r="L1" s="13" t="s">
        <v>232</v>
      </c>
      <c r="M1" s="13" t="s">
        <v>233</v>
      </c>
      <c r="N1" s="6"/>
      <c r="P1" s="6" t="s">
        <v>234</v>
      </c>
      <c r="Q1" s="6" t="s">
        <v>235</v>
      </c>
      <c r="S1" s="16" t="s">
        <v>234</v>
      </c>
      <c r="T1" s="16" t="s">
        <v>235</v>
      </c>
      <c r="W1" s="5" t="s">
        <v>236</v>
      </c>
      <c r="X1" s="5" t="s">
        <v>237</v>
      </c>
    </row>
    <row r="2" spans="1:24" ht="91.5">
      <c r="A2" s="5" t="s">
        <v>15</v>
      </c>
      <c r="B2" s="14"/>
      <c r="C2" s="14">
        <v>1</v>
      </c>
      <c r="D2" s="14" t="s">
        <v>238</v>
      </c>
      <c r="E2" s="14"/>
      <c r="F2" s="14" t="s">
        <v>239</v>
      </c>
      <c r="G2" s="14">
        <f>COUNTIF('Risk Register'!$J:$J,F2)</f>
        <v>2</v>
      </c>
      <c r="H2" s="14" t="s">
        <v>240</v>
      </c>
      <c r="I2" s="15" t="s">
        <v>241</v>
      </c>
      <c r="J2" s="14"/>
      <c r="K2" s="14"/>
      <c r="L2" s="6" t="s">
        <v>242</v>
      </c>
      <c r="M2" s="5" t="s">
        <v>243</v>
      </c>
      <c r="N2" s="14"/>
      <c r="O2" s="14"/>
      <c r="P2" s="13" t="s">
        <v>244</v>
      </c>
      <c r="Q2" s="2" t="s">
        <v>245</v>
      </c>
      <c r="R2" s="2"/>
      <c r="S2" s="13" t="s">
        <v>246</v>
      </c>
      <c r="T2" s="2" t="s">
        <v>247</v>
      </c>
      <c r="W2" s="5" t="s">
        <v>248</v>
      </c>
      <c r="X2" s="5" t="s">
        <v>249</v>
      </c>
    </row>
    <row r="3" spans="1:24" ht="60.75">
      <c r="A3" s="5" t="s">
        <v>25</v>
      </c>
      <c r="B3" s="14"/>
      <c r="C3" s="14">
        <v>2</v>
      </c>
      <c r="D3" s="14" t="s">
        <v>240</v>
      </c>
      <c r="E3" s="14"/>
      <c r="F3" s="14" t="s">
        <v>250</v>
      </c>
      <c r="G3" s="14">
        <f>COUNTIF('Risk Register'!$J:$J,F3)</f>
        <v>8</v>
      </c>
      <c r="H3" s="14" t="s">
        <v>251</v>
      </c>
      <c r="I3" s="15" t="s">
        <v>252</v>
      </c>
      <c r="J3" s="14"/>
      <c r="K3" s="14"/>
      <c r="L3" s="6" t="s">
        <v>253</v>
      </c>
      <c r="M3" s="5" t="s">
        <v>254</v>
      </c>
      <c r="N3" s="14"/>
      <c r="O3" s="14"/>
      <c r="P3" s="6" t="s">
        <v>255</v>
      </c>
      <c r="Q3" s="5" t="s">
        <v>256</v>
      </c>
      <c r="R3" s="5"/>
      <c r="S3" s="6" t="s">
        <v>257</v>
      </c>
      <c r="T3" s="5" t="s">
        <v>258</v>
      </c>
      <c r="W3" s="5" t="s">
        <v>259</v>
      </c>
      <c r="X3" s="5" t="s">
        <v>260</v>
      </c>
    </row>
    <row r="4" spans="1:24" ht="76.5">
      <c r="A4" s="5" t="s">
        <v>44</v>
      </c>
      <c r="B4" s="14"/>
      <c r="C4" s="14">
        <v>3</v>
      </c>
      <c r="D4" s="14" t="s">
        <v>251</v>
      </c>
      <c r="E4" s="14"/>
      <c r="F4" s="14" t="s">
        <v>251</v>
      </c>
      <c r="G4" s="14">
        <f>COUNTIF('Risk Register'!$J:$J,F4)</f>
        <v>1</v>
      </c>
      <c r="H4" s="14" t="s">
        <v>250</v>
      </c>
      <c r="I4" s="15" t="s">
        <v>261</v>
      </c>
      <c r="J4" s="14"/>
      <c r="K4" s="14"/>
      <c r="L4" s="6" t="s">
        <v>262</v>
      </c>
      <c r="M4" s="5" t="s">
        <v>263</v>
      </c>
      <c r="N4" s="14"/>
      <c r="O4" s="14"/>
      <c r="P4" s="13" t="s">
        <v>264</v>
      </c>
      <c r="Q4" s="2" t="s">
        <v>265</v>
      </c>
      <c r="R4" s="2"/>
      <c r="S4" s="13" t="s">
        <v>266</v>
      </c>
      <c r="T4" s="2" t="s">
        <v>267</v>
      </c>
    </row>
    <row r="5" spans="1:24" ht="60.75">
      <c r="A5" s="5" t="s">
        <v>54</v>
      </c>
      <c r="B5" s="14"/>
      <c r="C5" s="14">
        <v>4</v>
      </c>
      <c r="D5" s="14" t="s">
        <v>250</v>
      </c>
      <c r="E5" s="14"/>
      <c r="F5" s="14" t="s">
        <v>240</v>
      </c>
      <c r="G5" s="14">
        <f>COUNTIF('Risk Register'!$J:$J,F5)</f>
        <v>1</v>
      </c>
      <c r="H5" s="14" t="s">
        <v>239</v>
      </c>
      <c r="I5" s="15" t="s">
        <v>268</v>
      </c>
      <c r="J5" s="14"/>
      <c r="K5" s="14"/>
      <c r="L5" s="6" t="s">
        <v>269</v>
      </c>
      <c r="M5" s="5" t="s">
        <v>270</v>
      </c>
      <c r="N5" s="14"/>
      <c r="O5" s="14"/>
      <c r="P5" s="13" t="s">
        <v>271</v>
      </c>
      <c r="Q5" s="2" t="s">
        <v>272</v>
      </c>
      <c r="R5" s="2"/>
      <c r="S5" s="13" t="s">
        <v>273</v>
      </c>
      <c r="T5" s="2" t="s">
        <v>274</v>
      </c>
    </row>
    <row r="6" spans="1:24" ht="76.5">
      <c r="A6" s="5" t="s">
        <v>64</v>
      </c>
      <c r="B6" s="14"/>
      <c r="C6" s="14">
        <v>5</v>
      </c>
      <c r="D6" s="14" t="s">
        <v>275</v>
      </c>
      <c r="E6" s="14"/>
      <c r="F6" s="14"/>
      <c r="G6" s="14"/>
      <c r="H6" s="14"/>
      <c r="I6" s="14"/>
      <c r="J6" s="14"/>
      <c r="K6" s="14"/>
      <c r="L6" s="6" t="s">
        <v>276</v>
      </c>
      <c r="M6" s="5" t="s">
        <v>277</v>
      </c>
      <c r="N6" s="14"/>
      <c r="O6" s="14"/>
      <c r="P6" s="13" t="s">
        <v>278</v>
      </c>
      <c r="Q6" s="2" t="s">
        <v>279</v>
      </c>
      <c r="R6" s="2"/>
      <c r="S6" s="13" t="s">
        <v>280</v>
      </c>
      <c r="T6" s="2" t="s">
        <v>281</v>
      </c>
    </row>
    <row r="7" spans="1:24" ht="60.75">
      <c r="A7" s="5" t="s">
        <v>74</v>
      </c>
      <c r="B7" s="14"/>
      <c r="C7" s="14"/>
      <c r="D7" s="14"/>
      <c r="E7" s="14"/>
      <c r="F7" s="14"/>
      <c r="G7" s="14"/>
      <c r="H7" s="14"/>
      <c r="I7" s="14"/>
      <c r="J7" s="14"/>
      <c r="K7" s="14"/>
      <c r="L7" s="14"/>
      <c r="M7" s="14"/>
      <c r="N7" s="14"/>
      <c r="O7" s="14"/>
      <c r="P7" s="13" t="s">
        <v>282</v>
      </c>
      <c r="Q7" s="2" t="s">
        <v>283</v>
      </c>
      <c r="R7" s="2"/>
      <c r="S7" s="13" t="s">
        <v>284</v>
      </c>
      <c r="T7" s="2" t="s">
        <v>285</v>
      </c>
    </row>
    <row r="8" spans="1:24" ht="91.5">
      <c r="A8" s="5" t="s">
        <v>84</v>
      </c>
      <c r="B8" s="14"/>
      <c r="C8" s="14"/>
      <c r="D8" s="14"/>
      <c r="E8" s="14"/>
      <c r="F8" s="14"/>
      <c r="G8" s="14"/>
      <c r="H8" s="14"/>
      <c r="I8" s="14"/>
      <c r="J8" s="14"/>
      <c r="K8" s="14"/>
      <c r="L8" s="14"/>
      <c r="M8" s="14"/>
      <c r="N8" s="14"/>
      <c r="O8" s="14"/>
      <c r="P8" s="13" t="s">
        <v>286</v>
      </c>
      <c r="Q8" s="2" t="s">
        <v>287</v>
      </c>
      <c r="R8" s="2"/>
      <c r="S8" s="13" t="s">
        <v>288</v>
      </c>
      <c r="T8" s="2" t="s">
        <v>289</v>
      </c>
    </row>
    <row r="9" spans="1:24" ht="76.5">
      <c r="A9" s="5" t="s">
        <v>94</v>
      </c>
      <c r="B9" s="14"/>
      <c r="C9" s="14"/>
      <c r="D9" s="14"/>
      <c r="E9" s="14"/>
      <c r="F9" s="14"/>
      <c r="G9" s="14"/>
      <c r="H9" s="14"/>
      <c r="I9" s="14"/>
      <c r="J9" s="14"/>
      <c r="K9" s="14"/>
      <c r="L9" s="14"/>
      <c r="M9" s="14"/>
      <c r="N9" s="14"/>
      <c r="O9" s="14"/>
      <c r="P9" s="13" t="s">
        <v>290</v>
      </c>
      <c r="Q9" s="2" t="s">
        <v>291</v>
      </c>
      <c r="R9" s="2"/>
      <c r="S9" s="13" t="s">
        <v>292</v>
      </c>
      <c r="T9" s="2" t="s">
        <v>293</v>
      </c>
    </row>
    <row r="10" spans="1:24" ht="60.75">
      <c r="A10" s="5" t="s">
        <v>113</v>
      </c>
      <c r="B10" s="14"/>
      <c r="C10" s="14"/>
      <c r="D10" s="14"/>
      <c r="E10" s="14"/>
      <c r="F10" s="14"/>
      <c r="G10" s="14"/>
      <c r="H10" s="14"/>
      <c r="I10" s="14"/>
      <c r="J10" s="14"/>
      <c r="K10" s="14"/>
      <c r="L10" s="14"/>
      <c r="M10" s="14"/>
      <c r="N10" s="14"/>
      <c r="O10" s="14"/>
      <c r="P10" s="13" t="s">
        <v>294</v>
      </c>
      <c r="Q10" s="2" t="s">
        <v>295</v>
      </c>
      <c r="R10" s="2"/>
      <c r="S10" s="13" t="s">
        <v>296</v>
      </c>
      <c r="T10" s="2" t="s">
        <v>297</v>
      </c>
    </row>
    <row r="11" spans="1:24" ht="60.75">
      <c r="A11" s="9" t="s">
        <v>122</v>
      </c>
      <c r="B11" s="14"/>
      <c r="C11" s="14"/>
      <c r="D11" s="14"/>
      <c r="E11" s="14"/>
      <c r="F11" s="14"/>
      <c r="G11" s="14"/>
      <c r="H11" s="14"/>
      <c r="I11" s="14"/>
      <c r="J11" s="14"/>
      <c r="K11" s="14"/>
      <c r="L11" s="14"/>
      <c r="M11" s="14"/>
      <c r="N11" s="14"/>
      <c r="O11" s="14"/>
      <c r="P11" s="13" t="s">
        <v>298</v>
      </c>
      <c r="Q11" s="2" t="s">
        <v>299</v>
      </c>
      <c r="R11" s="2"/>
      <c r="S11" s="13" t="s">
        <v>137</v>
      </c>
      <c r="T11" s="2" t="s">
        <v>300</v>
      </c>
    </row>
    <row r="12" spans="1:24" ht="76.5">
      <c r="A12" s="14"/>
      <c r="B12" s="14"/>
      <c r="C12" s="14"/>
      <c r="D12" s="14"/>
      <c r="E12" s="14"/>
      <c r="F12" s="14"/>
      <c r="G12" s="14"/>
      <c r="H12" s="14"/>
      <c r="I12" s="14"/>
      <c r="J12" s="14"/>
      <c r="K12" s="14"/>
      <c r="L12" s="14"/>
      <c r="M12" s="14"/>
      <c r="N12" s="14"/>
      <c r="O12" s="14"/>
      <c r="P12" s="13" t="s">
        <v>301</v>
      </c>
      <c r="Q12" s="2" t="s">
        <v>302</v>
      </c>
      <c r="R12" s="2"/>
      <c r="S12" s="13" t="s">
        <v>303</v>
      </c>
      <c r="T12" s="2" t="s">
        <v>304</v>
      </c>
    </row>
    <row r="13" spans="1:24" ht="60.75">
      <c r="A13" s="14"/>
      <c r="B13" s="14"/>
      <c r="C13" s="14"/>
      <c r="D13" s="14"/>
      <c r="E13" s="14"/>
      <c r="F13" s="14"/>
      <c r="G13" s="14"/>
      <c r="H13" s="14"/>
      <c r="I13" s="14"/>
      <c r="J13" s="14"/>
      <c r="K13" s="14"/>
      <c r="L13" s="14"/>
      <c r="M13" s="14"/>
      <c r="N13" s="14"/>
      <c r="O13" s="14"/>
      <c r="P13" s="13" t="s">
        <v>305</v>
      </c>
      <c r="Q13" s="2" t="s">
        <v>306</v>
      </c>
      <c r="R13" s="2"/>
      <c r="S13" s="13" t="s">
        <v>11</v>
      </c>
      <c r="T13" s="2" t="s">
        <v>307</v>
      </c>
    </row>
    <row r="14" spans="1:24" ht="45.75">
      <c r="A14" s="14"/>
      <c r="B14" s="14"/>
      <c r="C14" s="14"/>
      <c r="D14" s="14"/>
      <c r="E14" s="14"/>
      <c r="F14" s="14"/>
      <c r="G14" s="14"/>
      <c r="H14" s="14"/>
      <c r="I14" s="14"/>
      <c r="J14" s="14"/>
      <c r="K14" s="14"/>
      <c r="L14" s="14"/>
      <c r="M14" s="14"/>
      <c r="N14" s="14"/>
      <c r="O14" s="14"/>
      <c r="P14" s="13" t="s">
        <v>308</v>
      </c>
      <c r="Q14" s="2" t="s">
        <v>309</v>
      </c>
      <c r="R14" s="2"/>
      <c r="S14" s="13" t="s">
        <v>132</v>
      </c>
      <c r="T14" s="2" t="s">
        <v>310</v>
      </c>
    </row>
    <row r="15" spans="1:24" ht="60.75">
      <c r="A15" s="14"/>
      <c r="B15" s="14"/>
      <c r="C15" s="14"/>
      <c r="D15" s="14"/>
      <c r="E15" s="14"/>
      <c r="F15" s="14"/>
      <c r="G15" s="14"/>
      <c r="H15" s="14"/>
      <c r="I15" s="14"/>
      <c r="J15" s="14"/>
      <c r="K15" s="14"/>
      <c r="L15" s="14"/>
      <c r="M15" s="14"/>
      <c r="N15" s="14"/>
      <c r="O15" s="14"/>
      <c r="P15" s="13" t="s">
        <v>311</v>
      </c>
      <c r="Q15" s="2" t="s">
        <v>312</v>
      </c>
      <c r="R15" s="2"/>
      <c r="S15" s="13" t="s">
        <v>138</v>
      </c>
      <c r="T15" s="2" t="s">
        <v>313</v>
      </c>
    </row>
    <row r="16" spans="1:24" ht="60.75">
      <c r="A16" s="14"/>
      <c r="B16" s="14"/>
      <c r="C16" s="14"/>
      <c r="D16" s="14"/>
      <c r="E16" s="14"/>
      <c r="F16" s="14"/>
      <c r="G16" s="14"/>
      <c r="H16" s="14"/>
      <c r="I16" s="14"/>
      <c r="J16" s="14"/>
      <c r="K16" s="14"/>
      <c r="L16" s="14"/>
      <c r="M16" s="14"/>
      <c r="N16" s="14"/>
      <c r="O16" s="14"/>
      <c r="P16" s="13" t="s">
        <v>314</v>
      </c>
      <c r="Q16" s="2" t="s">
        <v>315</v>
      </c>
      <c r="R16" s="2"/>
      <c r="S16" s="13" t="s">
        <v>316</v>
      </c>
      <c r="T16" s="2" t="s">
        <v>317</v>
      </c>
    </row>
    <row r="17" spans="1:20" ht="60.75">
      <c r="A17" s="14"/>
      <c r="B17" s="14"/>
      <c r="C17" s="14"/>
      <c r="D17" s="14"/>
      <c r="E17" s="14"/>
      <c r="F17" s="14"/>
      <c r="G17" s="14"/>
      <c r="H17" s="14"/>
      <c r="I17" s="14"/>
      <c r="J17" s="14"/>
      <c r="K17" s="14"/>
      <c r="L17" s="14"/>
      <c r="M17" s="14"/>
      <c r="N17" s="14"/>
      <c r="O17" s="14"/>
      <c r="P17" s="13" t="s">
        <v>318</v>
      </c>
      <c r="Q17" s="2" t="s">
        <v>319</v>
      </c>
      <c r="R17" s="2"/>
      <c r="S17" s="13" t="s">
        <v>320</v>
      </c>
      <c r="T17" s="2" t="s">
        <v>321</v>
      </c>
    </row>
    <row r="18" spans="1:20" ht="60.75">
      <c r="A18" s="14"/>
      <c r="B18" s="14"/>
      <c r="C18" s="14"/>
      <c r="D18" s="14"/>
      <c r="E18" s="14"/>
      <c r="F18" s="14"/>
      <c r="G18" s="14"/>
      <c r="H18" s="14"/>
      <c r="I18" s="14"/>
      <c r="J18" s="14"/>
      <c r="K18" s="14"/>
      <c r="L18" s="14"/>
      <c r="M18" s="14"/>
      <c r="N18" s="14"/>
      <c r="O18" s="14"/>
      <c r="P18" s="13" t="s">
        <v>322</v>
      </c>
      <c r="Q18" s="2" t="s">
        <v>323</v>
      </c>
      <c r="R18" s="2"/>
      <c r="S18" s="13" t="s">
        <v>324</v>
      </c>
      <c r="T18" s="2" t="s">
        <v>325</v>
      </c>
    </row>
    <row r="19" spans="1:20" ht="91.5">
      <c r="A19" s="14"/>
      <c r="B19" s="14"/>
      <c r="C19" s="14"/>
      <c r="D19" s="14"/>
      <c r="E19" s="14"/>
      <c r="F19" s="14"/>
      <c r="G19" s="14"/>
      <c r="H19" s="14"/>
      <c r="I19" s="14"/>
      <c r="J19" s="14"/>
      <c r="K19" s="14"/>
      <c r="L19" s="14"/>
      <c r="M19" s="14"/>
      <c r="N19" s="14"/>
      <c r="O19" s="14"/>
      <c r="P19" s="13" t="s">
        <v>326</v>
      </c>
      <c r="Q19" s="2" t="s">
        <v>327</v>
      </c>
      <c r="R19" s="2"/>
      <c r="S19" s="13" t="s">
        <v>328</v>
      </c>
      <c r="T19" s="2" t="s">
        <v>329</v>
      </c>
    </row>
    <row r="20" spans="1:20" ht="60.75">
      <c r="A20" s="14"/>
      <c r="B20" s="14"/>
      <c r="C20" s="14"/>
      <c r="D20" s="14"/>
      <c r="E20" s="14"/>
      <c r="F20" s="14"/>
      <c r="G20" s="14"/>
      <c r="H20" s="14"/>
      <c r="I20" s="14"/>
      <c r="J20" s="14"/>
      <c r="K20" s="14"/>
      <c r="L20" s="14"/>
      <c r="M20" s="14"/>
      <c r="N20" s="14"/>
      <c r="O20" s="14"/>
      <c r="P20" s="13" t="s">
        <v>330</v>
      </c>
      <c r="Q20" s="2" t="s">
        <v>331</v>
      </c>
      <c r="R20" s="2"/>
      <c r="S20" s="13" t="s">
        <v>332</v>
      </c>
      <c r="T20" s="2" t="s">
        <v>333</v>
      </c>
    </row>
    <row r="21" spans="1:20" ht="76.5">
      <c r="A21" s="14"/>
      <c r="B21" s="14"/>
      <c r="C21" s="14"/>
      <c r="D21" s="14"/>
      <c r="E21" s="14"/>
      <c r="F21" s="14"/>
      <c r="G21" s="14"/>
      <c r="H21" s="14"/>
      <c r="I21" s="14"/>
      <c r="J21" s="14"/>
      <c r="K21" s="14"/>
      <c r="L21" s="14"/>
      <c r="M21" s="14"/>
      <c r="N21" s="14"/>
      <c r="O21" s="14"/>
      <c r="P21" s="13" t="s">
        <v>334</v>
      </c>
      <c r="Q21" s="2" t="s">
        <v>335</v>
      </c>
      <c r="R21" s="2"/>
      <c r="S21" s="13" t="s">
        <v>74</v>
      </c>
      <c r="T21" s="2" t="s">
        <v>336</v>
      </c>
    </row>
    <row r="22" spans="1:20">
      <c r="A22" s="14"/>
      <c r="B22" s="14"/>
      <c r="C22" s="14"/>
      <c r="D22" s="14"/>
      <c r="E22" s="14"/>
      <c r="F22" s="14"/>
      <c r="G22" s="14"/>
      <c r="H22" s="14"/>
      <c r="I22" s="14"/>
      <c r="J22" s="14"/>
      <c r="K22" s="14"/>
      <c r="L22" s="14"/>
      <c r="M22" s="14"/>
      <c r="N22" s="14"/>
      <c r="O22" s="14"/>
      <c r="P22" s="5"/>
      <c r="Q22" s="5"/>
      <c r="R22" s="14"/>
      <c r="S22" s="14"/>
      <c r="T22" s="14"/>
    </row>
    <row r="23" spans="1:20">
      <c r="A23" s="14"/>
      <c r="B23" s="14"/>
      <c r="C23" s="14"/>
      <c r="D23" s="14"/>
      <c r="E23" s="14"/>
      <c r="F23" s="14"/>
      <c r="G23" s="14"/>
      <c r="H23" s="14"/>
      <c r="I23" s="14"/>
      <c r="J23" s="14"/>
      <c r="K23" s="14"/>
      <c r="L23" s="14"/>
      <c r="M23" s="14"/>
      <c r="N23" s="14"/>
      <c r="O23" s="14"/>
      <c r="P23" s="5"/>
      <c r="Q23" s="5"/>
      <c r="R23" s="14"/>
      <c r="S23" s="14"/>
      <c r="T23" s="14"/>
    </row>
    <row r="24" spans="1:20">
      <c r="A24" s="14"/>
      <c r="B24" s="14"/>
      <c r="C24" s="14"/>
      <c r="D24" s="14"/>
      <c r="E24" s="14"/>
      <c r="F24" s="14"/>
      <c r="G24" s="14"/>
      <c r="H24" s="14"/>
      <c r="I24" s="14"/>
      <c r="J24" s="14"/>
      <c r="K24" s="14"/>
      <c r="L24" s="14"/>
      <c r="M24" s="14"/>
      <c r="N24" s="14"/>
      <c r="O24" s="14"/>
      <c r="P24" s="5"/>
      <c r="Q24" s="5"/>
      <c r="R24" s="14"/>
      <c r="S24" s="14"/>
      <c r="T24" s="14"/>
    </row>
    <row r="25" spans="1:20">
      <c r="A25" s="14"/>
      <c r="B25" s="14"/>
      <c r="C25" s="14"/>
      <c r="D25" s="14"/>
      <c r="E25" s="14"/>
      <c r="F25" s="14"/>
      <c r="G25" s="14"/>
      <c r="H25" s="14"/>
      <c r="I25" s="14"/>
      <c r="J25" s="14"/>
      <c r="K25" s="14"/>
      <c r="L25" s="14"/>
      <c r="M25" s="14"/>
      <c r="N25" s="14"/>
      <c r="O25" s="14"/>
      <c r="P25" s="5"/>
      <c r="Q25" s="5"/>
      <c r="R25" s="14"/>
      <c r="S25" s="14"/>
      <c r="T25" s="14"/>
    </row>
    <row r="26" spans="1:20">
      <c r="A26" s="14"/>
      <c r="B26" s="14"/>
      <c r="C26" s="14"/>
      <c r="D26" s="14"/>
      <c r="E26" s="14"/>
      <c r="F26" s="14"/>
      <c r="G26" s="14"/>
      <c r="H26" s="14"/>
      <c r="I26" s="14"/>
      <c r="J26" s="14"/>
      <c r="K26" s="14"/>
      <c r="L26" s="14"/>
      <c r="M26" s="14"/>
      <c r="N26" s="14"/>
      <c r="O26" s="14"/>
      <c r="P26" s="5"/>
      <c r="Q26" s="5"/>
      <c r="R26" s="14"/>
      <c r="S26" s="14"/>
      <c r="T26" s="14"/>
    </row>
    <row r="27" spans="1:20">
      <c r="A27" s="14"/>
      <c r="B27" s="14"/>
      <c r="C27" s="14"/>
      <c r="D27" s="14"/>
      <c r="E27" s="14"/>
      <c r="F27" s="14"/>
      <c r="G27" s="14"/>
      <c r="H27" s="14"/>
      <c r="I27" s="14"/>
      <c r="J27" s="14"/>
      <c r="K27" s="14"/>
      <c r="L27" s="14"/>
      <c r="M27" s="14"/>
      <c r="N27" s="14"/>
      <c r="O27" s="14"/>
      <c r="P27" s="5"/>
      <c r="Q27" s="5"/>
      <c r="R27" s="14"/>
      <c r="S27" s="14"/>
      <c r="T27" s="14"/>
    </row>
    <row r="28" spans="1:20">
      <c r="A28" s="14"/>
      <c r="B28" s="14"/>
      <c r="C28" s="14"/>
      <c r="D28" s="14"/>
      <c r="E28" s="14"/>
      <c r="F28" s="14"/>
      <c r="G28" s="14"/>
      <c r="H28" s="14"/>
      <c r="I28" s="14"/>
      <c r="J28" s="14"/>
      <c r="K28" s="14"/>
      <c r="L28" s="14"/>
      <c r="M28" s="14"/>
      <c r="N28" s="14"/>
      <c r="O28" s="14"/>
      <c r="P28" s="5"/>
      <c r="Q28" s="5"/>
      <c r="R28" s="14"/>
      <c r="S28" s="14"/>
      <c r="T28" s="14"/>
    </row>
    <row r="29" spans="1:20">
      <c r="A29" s="14"/>
      <c r="B29" s="14"/>
      <c r="C29" s="14"/>
      <c r="D29" s="14"/>
      <c r="E29" s="14"/>
      <c r="F29" s="14"/>
      <c r="G29" s="14"/>
      <c r="H29" s="14"/>
      <c r="I29" s="14"/>
      <c r="J29" s="14"/>
      <c r="K29" s="14"/>
      <c r="L29" s="14"/>
      <c r="M29" s="14"/>
      <c r="N29" s="14"/>
      <c r="O29" s="14"/>
      <c r="P29" s="5"/>
      <c r="Q29" s="5"/>
      <c r="R29" s="14"/>
      <c r="S29" s="14"/>
      <c r="T29" s="14"/>
    </row>
    <row r="30" spans="1:20">
      <c r="A30" s="14"/>
      <c r="B30" s="14"/>
      <c r="C30" s="14"/>
      <c r="D30" s="14"/>
      <c r="E30" s="14"/>
      <c r="F30" s="14"/>
      <c r="G30" s="14"/>
      <c r="H30" s="14"/>
      <c r="I30" s="14"/>
      <c r="J30" s="14"/>
      <c r="K30" s="14"/>
      <c r="L30" s="14"/>
      <c r="M30" s="14"/>
      <c r="N30" s="14"/>
      <c r="O30" s="14"/>
      <c r="P30" s="5"/>
      <c r="Q30" s="5"/>
      <c r="R30" s="14"/>
      <c r="S30" s="14"/>
      <c r="T30" s="14"/>
    </row>
    <row r="31" spans="1:20">
      <c r="A31" s="14"/>
      <c r="B31" s="14"/>
      <c r="C31" s="14"/>
      <c r="D31" s="14"/>
      <c r="E31" s="14"/>
      <c r="F31" s="14"/>
      <c r="G31" s="14"/>
      <c r="H31" s="14"/>
      <c r="I31" s="14"/>
      <c r="J31" s="14"/>
      <c r="K31" s="14"/>
      <c r="L31" s="14"/>
      <c r="M31" s="14"/>
      <c r="N31" s="14"/>
      <c r="O31" s="14"/>
      <c r="P31" s="5"/>
      <c r="Q31" s="5"/>
      <c r="R31" s="14"/>
      <c r="S31" s="14"/>
      <c r="T31" s="14"/>
    </row>
    <row r="32" spans="1:20">
      <c r="A32" s="14"/>
      <c r="B32" s="14"/>
      <c r="C32" s="14"/>
      <c r="D32" s="14"/>
      <c r="E32" s="14"/>
      <c r="F32" s="14"/>
      <c r="G32" s="14"/>
      <c r="H32" s="14"/>
      <c r="I32" s="14"/>
      <c r="J32" s="14"/>
      <c r="K32" s="14"/>
      <c r="L32" s="14"/>
      <c r="M32" s="14"/>
      <c r="N32" s="14"/>
      <c r="O32" s="14"/>
      <c r="P32" s="14"/>
      <c r="Q32" s="14"/>
      <c r="R32" s="14"/>
      <c r="S32" s="14"/>
      <c r="T32" s="14"/>
    </row>
    <row r="33" spans="1:20">
      <c r="A33" s="14"/>
      <c r="B33" s="14"/>
      <c r="C33" s="14"/>
      <c r="D33" s="14"/>
      <c r="E33" s="14"/>
      <c r="F33" s="14"/>
      <c r="G33" s="14"/>
      <c r="H33" s="14"/>
      <c r="I33" s="14"/>
      <c r="J33" s="14"/>
      <c r="K33" s="14"/>
      <c r="L33" s="14"/>
      <c r="M33" s="14"/>
      <c r="N33" s="14"/>
      <c r="O33" s="14"/>
      <c r="P33" s="14"/>
      <c r="Q33" s="14"/>
      <c r="R33" s="14"/>
      <c r="S33" s="14"/>
      <c r="T33" s="14"/>
    </row>
    <row r="34" spans="1:20">
      <c r="A34" s="14"/>
      <c r="B34" s="14"/>
      <c r="C34" s="14"/>
      <c r="D34" s="14"/>
      <c r="E34" s="14"/>
      <c r="F34" s="14"/>
      <c r="G34" s="14"/>
      <c r="H34" s="14"/>
      <c r="I34" s="14"/>
      <c r="J34" s="14"/>
      <c r="K34" s="14"/>
      <c r="L34" s="14"/>
      <c r="M34" s="14"/>
      <c r="N34" s="14"/>
      <c r="O34" s="14"/>
      <c r="P34" s="14"/>
      <c r="Q34" s="14"/>
      <c r="R34" s="14"/>
      <c r="S34" s="14"/>
      <c r="T34" s="14"/>
    </row>
    <row r="35" spans="1:20">
      <c r="A35" s="14"/>
      <c r="B35" s="14"/>
      <c r="C35" s="14"/>
      <c r="D35" s="14"/>
      <c r="E35" s="14"/>
      <c r="F35" s="14"/>
      <c r="G35" s="14"/>
      <c r="H35" s="14"/>
      <c r="I35" s="14"/>
      <c r="J35" s="14"/>
      <c r="K35" s="14"/>
      <c r="L35" s="14"/>
      <c r="M35" s="14"/>
      <c r="N35" s="14"/>
      <c r="O35" s="14"/>
      <c r="P35" s="14"/>
      <c r="Q35" s="14"/>
      <c r="R35" s="14"/>
      <c r="S35" s="14"/>
      <c r="T35" s="14"/>
    </row>
    <row r="36" spans="1:20">
      <c r="A36" s="14"/>
      <c r="B36" s="14"/>
      <c r="C36" s="14"/>
      <c r="D36" s="14"/>
      <c r="E36" s="14"/>
      <c r="F36" s="14"/>
      <c r="G36" s="14"/>
      <c r="H36" s="14"/>
      <c r="I36" s="14"/>
      <c r="J36" s="14"/>
      <c r="K36" s="14"/>
      <c r="L36" s="14"/>
      <c r="M36" s="14"/>
      <c r="N36" s="14"/>
      <c r="O36" s="14"/>
      <c r="P36" s="14"/>
      <c r="Q36" s="14"/>
      <c r="R36" s="14"/>
      <c r="S36" s="14"/>
      <c r="T36" s="14"/>
    </row>
    <row r="37" spans="1:20">
      <c r="A37" s="14"/>
      <c r="B37" s="14"/>
      <c r="C37" s="14"/>
      <c r="D37" s="14"/>
      <c r="E37" s="14"/>
      <c r="F37" s="14"/>
      <c r="G37" s="14"/>
      <c r="H37" s="14"/>
      <c r="I37" s="14"/>
      <c r="J37" s="14"/>
      <c r="K37" s="14"/>
      <c r="L37" s="14"/>
      <c r="M37" s="14"/>
      <c r="N37" s="14"/>
      <c r="O37" s="14"/>
      <c r="P37" s="14"/>
      <c r="Q37" s="14"/>
      <c r="R37" s="14"/>
      <c r="S37" s="14"/>
      <c r="T37" s="14"/>
    </row>
    <row r="38" spans="1:20">
      <c r="A38" s="14"/>
      <c r="B38" s="14"/>
      <c r="C38" s="14"/>
      <c r="D38" s="14"/>
      <c r="E38" s="14"/>
      <c r="F38" s="14"/>
      <c r="G38" s="14"/>
      <c r="H38" s="14"/>
      <c r="I38" s="14"/>
      <c r="J38" s="14"/>
      <c r="K38" s="14"/>
      <c r="L38" s="14"/>
      <c r="M38" s="14"/>
      <c r="N38" s="14"/>
      <c r="O38" s="14"/>
      <c r="P38" s="14"/>
      <c r="Q38" s="14"/>
      <c r="R38" s="14"/>
      <c r="S38" s="14"/>
      <c r="T38" s="14"/>
    </row>
    <row r="39" spans="1:20">
      <c r="A39" s="14"/>
      <c r="B39" s="14"/>
      <c r="C39" s="14"/>
      <c r="D39" s="14"/>
      <c r="E39" s="14"/>
      <c r="F39" s="14"/>
      <c r="G39" s="14"/>
      <c r="H39" s="14"/>
      <c r="I39" s="14"/>
      <c r="J39" s="14"/>
      <c r="K39" s="14"/>
      <c r="L39" s="14"/>
      <c r="M39" s="14"/>
      <c r="N39" s="14"/>
      <c r="O39" s="14"/>
      <c r="P39" s="14"/>
      <c r="Q39" s="14"/>
      <c r="R39" s="14"/>
      <c r="S39" s="14"/>
      <c r="T39" s="14"/>
    </row>
    <row r="40" spans="1:20">
      <c r="A40" s="14"/>
      <c r="B40" s="14"/>
      <c r="C40" s="14"/>
      <c r="D40" s="14"/>
      <c r="E40" s="14"/>
      <c r="F40" s="14"/>
      <c r="G40" s="14"/>
      <c r="H40" s="14"/>
      <c r="I40" s="14"/>
      <c r="J40" s="14"/>
      <c r="K40" s="14"/>
      <c r="L40" s="14"/>
      <c r="M40" s="14"/>
      <c r="N40" s="14"/>
      <c r="O40" s="14"/>
      <c r="P40" s="14"/>
      <c r="Q40" s="14"/>
      <c r="R40" s="14"/>
      <c r="S40" s="14"/>
      <c r="T40" s="14"/>
    </row>
    <row r="41" spans="1:20">
      <c r="A41" s="14"/>
      <c r="B41" s="14"/>
      <c r="C41" s="14"/>
      <c r="D41" s="14"/>
      <c r="E41" s="14"/>
      <c r="F41" s="14"/>
      <c r="G41" s="14"/>
      <c r="H41" s="14"/>
      <c r="I41" s="14"/>
      <c r="J41" s="14"/>
      <c r="K41" s="14"/>
      <c r="L41" s="14"/>
      <c r="M41" s="14"/>
      <c r="N41" s="14"/>
      <c r="O41" s="14"/>
      <c r="P41" s="14"/>
      <c r="Q41" s="14"/>
      <c r="R41" s="14"/>
      <c r="S41" s="14"/>
      <c r="T41" s="14"/>
    </row>
    <row r="42" spans="1:20">
      <c r="A42" s="14"/>
      <c r="B42" s="14"/>
      <c r="C42" s="14"/>
      <c r="D42" s="14"/>
      <c r="E42" s="14"/>
      <c r="F42" s="14"/>
      <c r="G42" s="14"/>
      <c r="H42" s="14"/>
      <c r="I42" s="14"/>
      <c r="J42" s="14"/>
      <c r="K42" s="14"/>
      <c r="L42" s="14"/>
      <c r="M42" s="14"/>
      <c r="N42" s="14"/>
      <c r="O42" s="14"/>
      <c r="P42" s="14"/>
      <c r="Q42" s="14"/>
      <c r="R42" s="14"/>
      <c r="S42" s="14"/>
      <c r="T42" s="14"/>
    </row>
    <row r="43" spans="1:20">
      <c r="A43" s="14"/>
      <c r="B43" s="14"/>
      <c r="C43" s="14"/>
      <c r="D43" s="14"/>
      <c r="E43" s="14"/>
      <c r="F43" s="14"/>
      <c r="G43" s="14"/>
      <c r="H43" s="14"/>
      <c r="I43" s="14"/>
      <c r="J43" s="14"/>
      <c r="K43" s="14"/>
      <c r="L43" s="14"/>
      <c r="M43" s="14"/>
      <c r="N43" s="14"/>
      <c r="O43" s="14"/>
      <c r="P43" s="14"/>
      <c r="Q43" s="14"/>
      <c r="R43" s="14"/>
      <c r="S43" s="14"/>
      <c r="T43" s="14"/>
    </row>
    <row r="44" spans="1:20">
      <c r="A44" s="14"/>
      <c r="B44" s="14"/>
      <c r="C44" s="14"/>
      <c r="D44" s="14"/>
      <c r="E44" s="14"/>
      <c r="F44" s="14"/>
      <c r="G44" s="14"/>
      <c r="H44" s="14"/>
      <c r="I44" s="14"/>
      <c r="J44" s="14"/>
      <c r="K44" s="14"/>
      <c r="L44" s="14"/>
      <c r="M44" s="14"/>
      <c r="N44" s="14"/>
      <c r="O44" s="14"/>
      <c r="P44" s="14"/>
      <c r="Q44" s="14"/>
      <c r="R44" s="14"/>
      <c r="S44" s="14"/>
      <c r="T44" s="14"/>
    </row>
    <row r="45" spans="1:20">
      <c r="A45" s="14"/>
      <c r="B45" s="14"/>
      <c r="C45" s="14"/>
      <c r="D45" s="14"/>
      <c r="E45" s="14"/>
      <c r="F45" s="14"/>
      <c r="G45" s="14"/>
      <c r="H45" s="14"/>
      <c r="I45" s="14"/>
      <c r="J45" s="14"/>
      <c r="K45" s="14"/>
      <c r="L45" s="14"/>
      <c r="M45" s="14"/>
      <c r="N45" s="14"/>
      <c r="O45" s="14"/>
      <c r="P45" s="14"/>
      <c r="Q45" s="14"/>
      <c r="R45" s="14"/>
      <c r="S45" s="14"/>
      <c r="T45"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4D554-32C9-4F77-B9BD-D290D68D3B52}">
  <dimension ref="A2:I27"/>
  <sheetViews>
    <sheetView workbookViewId="0">
      <selection activeCell="H13" sqref="H13"/>
    </sheetView>
  </sheetViews>
  <sheetFormatPr defaultRowHeight="15"/>
  <cols>
    <col min="1" max="1" width="33.7109375" bestFit="1" customWidth="1"/>
    <col min="2" max="2" width="15.42578125" bestFit="1" customWidth="1"/>
    <col min="4" max="4" width="33.7109375" bestFit="1" customWidth="1"/>
    <col min="5" max="5" width="14.140625" bestFit="1" customWidth="1"/>
    <col min="6" max="6" width="5.140625" bestFit="1" customWidth="1"/>
    <col min="7" max="7" width="4.85546875" bestFit="1" customWidth="1"/>
    <col min="8" max="8" width="10" bestFit="1" customWidth="1"/>
    <col min="9" max="10" width="11.7109375" bestFit="1" customWidth="1"/>
  </cols>
  <sheetData>
    <row r="2" spans="1:9">
      <c r="A2" s="10" t="s">
        <v>1</v>
      </c>
      <c r="B2" t="s">
        <v>337</v>
      </c>
      <c r="D2" s="10" t="s">
        <v>9</v>
      </c>
      <c r="E2" t="s">
        <v>337</v>
      </c>
    </row>
    <row r="3" spans="1:9">
      <c r="A3" t="s">
        <v>94</v>
      </c>
      <c r="B3">
        <v>1</v>
      </c>
      <c r="D3" t="s">
        <v>239</v>
      </c>
      <c r="E3">
        <v>2</v>
      </c>
    </row>
    <row r="4" spans="1:9">
      <c r="A4" t="s">
        <v>74</v>
      </c>
      <c r="B4">
        <v>1</v>
      </c>
      <c r="D4" t="s">
        <v>250</v>
      </c>
      <c r="E4">
        <v>8</v>
      </c>
    </row>
    <row r="5" spans="1:9">
      <c r="A5" t="s">
        <v>64</v>
      </c>
      <c r="B5">
        <v>1</v>
      </c>
      <c r="D5" t="s">
        <v>240</v>
      </c>
      <c r="E5">
        <v>1</v>
      </c>
    </row>
    <row r="6" spans="1:9">
      <c r="A6" t="s">
        <v>15</v>
      </c>
      <c r="B6">
        <v>2</v>
      </c>
      <c r="D6" t="s">
        <v>251</v>
      </c>
      <c r="E6">
        <v>1</v>
      </c>
    </row>
    <row r="7" spans="1:9">
      <c r="A7" t="s">
        <v>44</v>
      </c>
      <c r="B7">
        <v>1</v>
      </c>
      <c r="D7" t="s">
        <v>338</v>
      </c>
      <c r="E7">
        <v>12</v>
      </c>
    </row>
    <row r="8" spans="1:9">
      <c r="A8" t="s">
        <v>122</v>
      </c>
      <c r="B8">
        <v>1</v>
      </c>
    </row>
    <row r="9" spans="1:9">
      <c r="A9" t="s">
        <v>84</v>
      </c>
      <c r="B9">
        <v>1</v>
      </c>
    </row>
    <row r="10" spans="1:9">
      <c r="A10" t="s">
        <v>54</v>
      </c>
      <c r="B10">
        <v>2</v>
      </c>
    </row>
    <row r="11" spans="1:9">
      <c r="A11" t="s">
        <v>25</v>
      </c>
      <c r="B11">
        <v>1</v>
      </c>
    </row>
    <row r="12" spans="1:9">
      <c r="A12" t="s">
        <v>113</v>
      </c>
      <c r="B12">
        <v>1</v>
      </c>
    </row>
    <row r="13" spans="1:9">
      <c r="A13" t="s">
        <v>338</v>
      </c>
      <c r="B13">
        <v>12</v>
      </c>
    </row>
    <row r="15" spans="1:9">
      <c r="D15" s="10" t="s">
        <v>337</v>
      </c>
      <c r="E15" s="10" t="s">
        <v>9</v>
      </c>
    </row>
    <row r="16" spans="1:9">
      <c r="D16" s="10" t="s">
        <v>1</v>
      </c>
      <c r="E16" t="s">
        <v>239</v>
      </c>
      <c r="F16" t="s">
        <v>250</v>
      </c>
      <c r="G16" t="s">
        <v>240</v>
      </c>
      <c r="H16" t="s">
        <v>251</v>
      </c>
      <c r="I16" t="s">
        <v>338</v>
      </c>
    </row>
    <row r="17" spans="4:9">
      <c r="D17" t="s">
        <v>94</v>
      </c>
      <c r="F17">
        <v>1</v>
      </c>
      <c r="I17">
        <v>1</v>
      </c>
    </row>
    <row r="18" spans="4:9">
      <c r="D18" t="s">
        <v>74</v>
      </c>
      <c r="F18">
        <v>1</v>
      </c>
      <c r="I18">
        <v>1</v>
      </c>
    </row>
    <row r="19" spans="4:9">
      <c r="D19" t="s">
        <v>64</v>
      </c>
      <c r="F19">
        <v>1</v>
      </c>
      <c r="I19">
        <v>1</v>
      </c>
    </row>
    <row r="20" spans="4:9">
      <c r="D20" t="s">
        <v>15</v>
      </c>
      <c r="E20">
        <v>1</v>
      </c>
      <c r="F20">
        <v>1</v>
      </c>
      <c r="I20">
        <v>2</v>
      </c>
    </row>
    <row r="21" spans="4:9">
      <c r="D21" t="s">
        <v>44</v>
      </c>
      <c r="F21">
        <v>1</v>
      </c>
      <c r="I21">
        <v>1</v>
      </c>
    </row>
    <row r="22" spans="4:9">
      <c r="D22" t="s">
        <v>122</v>
      </c>
      <c r="G22">
        <v>1</v>
      </c>
      <c r="I22">
        <v>1</v>
      </c>
    </row>
    <row r="23" spans="4:9">
      <c r="D23" t="s">
        <v>84</v>
      </c>
      <c r="F23">
        <v>1</v>
      </c>
      <c r="I23">
        <v>1</v>
      </c>
    </row>
    <row r="24" spans="4:9">
      <c r="D24" t="s">
        <v>54</v>
      </c>
      <c r="F24">
        <v>1</v>
      </c>
      <c r="H24">
        <v>1</v>
      </c>
      <c r="I24">
        <v>2</v>
      </c>
    </row>
    <row r="25" spans="4:9">
      <c r="D25" t="s">
        <v>25</v>
      </c>
      <c r="E25">
        <v>1</v>
      </c>
      <c r="I25">
        <v>1</v>
      </c>
    </row>
    <row r="26" spans="4:9">
      <c r="D26" t="s">
        <v>113</v>
      </c>
      <c r="F26">
        <v>1</v>
      </c>
      <c r="I26">
        <v>1</v>
      </c>
    </row>
    <row r="27" spans="4:9">
      <c r="D27" t="s">
        <v>338</v>
      </c>
      <c r="E27">
        <v>2</v>
      </c>
      <c r="F27">
        <v>8</v>
      </c>
      <c r="G27">
        <v>1</v>
      </c>
      <c r="H27">
        <v>1</v>
      </c>
      <c r="I27">
        <v>12</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2026-08-14T22:52:23Z</dcterms:created>
  <dcterms:modified xsi:type="dcterms:W3CDTF">2026-09-02T00:30:29Z</dcterms:modified>
  <cp:category/>
  <cp:contentStatus/>
</cp:coreProperties>
</file>